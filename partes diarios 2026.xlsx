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º" sheetId="1" r:id="rId4"/>
    <sheet state="visible" name="2º" sheetId="2" r:id="rId5"/>
    <sheet state="visible" name="3º" sheetId="3" r:id="rId6"/>
    <sheet state="visible" name="4º" sheetId="4" r:id="rId7"/>
    <sheet state="visible" name="5º" sheetId="5" r:id="rId8"/>
    <sheet state="visible" name="6º" sheetId="6" r:id="rId9"/>
    <sheet state="visible" name="HS EXTRAS LUCHO" sheetId="7" r:id="rId10"/>
    <sheet state="visible" name="ED FISICA" sheetId="8" r:id="rId11"/>
  </sheets>
  <definedNames/>
  <calcPr/>
  <extLst>
    <ext uri="GoogleSheetsCustomDataVersion2">
      <go:sheetsCustomData xmlns:go="http://customooxmlschemas.google.com/" r:id="rId12" roundtripDataChecksum="2jTevoETfuFoxi4ZQvGYdFrOp+B6PeKR/OWjPUsdVAI="/>
    </ext>
  </extLst>
</workbook>
</file>

<file path=xl/sharedStrings.xml><?xml version="1.0" encoding="utf-8"?>
<sst xmlns="http://schemas.openxmlformats.org/spreadsheetml/2006/main" count="1239" uniqueCount="138">
  <si>
    <t>PARTE DE 1º AÑO  - 2026 -</t>
  </si>
  <si>
    <t>PARTE DE 2º AÑO  - 2026 -</t>
  </si>
  <si>
    <t>PARTE DE 4º AÑO  - 2026 -</t>
  </si>
  <si>
    <t>PARTE DE 3º AÑO  - 2026 -</t>
  </si>
  <si>
    <t>LUNES</t>
  </si>
  <si>
    <t>ASIGNATURA</t>
  </si>
  <si>
    <t>FIRMA PROFESOR</t>
  </si>
  <si>
    <t>ALUMNOS AUSENTE</t>
  </si>
  <si>
    <t>INASISTENCIA JUSTIFICADA</t>
  </si>
  <si>
    <t>OBSERVACIONES</t>
  </si>
  <si>
    <t>FISICA</t>
  </si>
  <si>
    <t>FISICO-QUIMICA</t>
  </si>
  <si>
    <t>FORM. ETICA Y CIUD.</t>
  </si>
  <si>
    <t>ARTES VISUALES</t>
  </si>
  <si>
    <t>FORMACION ET Y CIUD</t>
  </si>
  <si>
    <t>MATEMATICA</t>
  </si>
  <si>
    <t>LENGUA</t>
  </si>
  <si>
    <t>ED. TECN (INFORM)</t>
  </si>
  <si>
    <t>HISTORIA</t>
  </si>
  <si>
    <t>INGLES</t>
  </si>
  <si>
    <t>MUSICA</t>
  </si>
  <si>
    <t>MARTES</t>
  </si>
  <si>
    <t>FÍSICA Y QUÍMICA</t>
  </si>
  <si>
    <t>ITALIANO</t>
  </si>
  <si>
    <t>INGLÉS</t>
  </si>
  <si>
    <t>PSICOLOGIA</t>
  </si>
  <si>
    <t>ED. FÍSICA</t>
  </si>
  <si>
    <t>MIERCOLES</t>
  </si>
  <si>
    <t xml:space="preserve">MIERCOLES </t>
  </si>
  <si>
    <t>ED FISICA</t>
  </si>
  <si>
    <t>MIÈRCOLES</t>
  </si>
  <si>
    <t>TUTORIA</t>
  </si>
  <si>
    <t>QUIMICA</t>
  </si>
  <si>
    <t>GEOGRAFIA</t>
  </si>
  <si>
    <t>TUTORIA (LENGUA)</t>
  </si>
  <si>
    <t xml:space="preserve">TUTORIA </t>
  </si>
  <si>
    <t>ECONOMIA</t>
  </si>
  <si>
    <t>BIOLOGIA</t>
  </si>
  <si>
    <t>JUEVES</t>
  </si>
  <si>
    <t xml:space="preserve">JUEVES </t>
  </si>
  <si>
    <t>BIOLOGÍA</t>
  </si>
  <si>
    <t>TUTORIA DISCIPLINAR (LENGUA)</t>
  </si>
  <si>
    <t>VIERNES</t>
  </si>
  <si>
    <t xml:space="preserve">VIERNES </t>
  </si>
  <si>
    <t>FORMACION ETICA</t>
  </si>
  <si>
    <t>ED. TECNOLÓGICA</t>
  </si>
  <si>
    <t>ED.TECNOLOGICA</t>
  </si>
  <si>
    <t>ED.TECNOLOGIA</t>
  </si>
  <si>
    <t>PARTE DE 5º AÑO - 2026 -</t>
  </si>
  <si>
    <t>LITERATURA</t>
  </si>
  <si>
    <t>TIC´S</t>
  </si>
  <si>
    <t>FILOSOFIA</t>
  </si>
  <si>
    <t>CS. DE LA TIERRA</t>
  </si>
  <si>
    <t>PARTE DE 6º AÑO  - 2026 -</t>
  </si>
  <si>
    <t xml:space="preserve">MARTES </t>
  </si>
  <si>
    <t>ECOLOGIA</t>
  </si>
  <si>
    <t>IICSN</t>
  </si>
  <si>
    <t>MARZO</t>
  </si>
  <si>
    <t>DIA</t>
  </si>
  <si>
    <t>CANT DE HS</t>
  </si>
  <si>
    <t>LU</t>
  </si>
  <si>
    <t>MA</t>
  </si>
  <si>
    <t>MI</t>
  </si>
  <si>
    <t>P EDUCATIVA</t>
  </si>
  <si>
    <t>JU</t>
  </si>
  <si>
    <t>VI</t>
  </si>
  <si>
    <t xml:space="preserve"> </t>
  </si>
  <si>
    <t>TOTAL</t>
  </si>
  <si>
    <t>ABRIL</t>
  </si>
  <si>
    <t>PRAC EDUC (MATEM)</t>
  </si>
  <si>
    <t>Mayo</t>
  </si>
  <si>
    <t>JUNIO</t>
  </si>
  <si>
    <t>Vi</t>
  </si>
  <si>
    <t>JULIO</t>
  </si>
  <si>
    <t>AGOSTO</t>
  </si>
  <si>
    <t>feriado</t>
  </si>
  <si>
    <t>cumple justi</t>
  </si>
  <si>
    <t>SEPTIEMBRE</t>
  </si>
  <si>
    <t>OCTUBRE</t>
  </si>
  <si>
    <t>NOVIEMBRE</t>
  </si>
  <si>
    <t>MES MARZO</t>
  </si>
  <si>
    <t>DICIIEMBRE</t>
  </si>
  <si>
    <t>CURSO</t>
  </si>
  <si>
    <t>PROFE</t>
  </si>
  <si>
    <t>1°</t>
  </si>
  <si>
    <t>FRANCO/PECO</t>
  </si>
  <si>
    <t>pendiente parte fisico</t>
  </si>
  <si>
    <t>Feriado</t>
  </si>
  <si>
    <t>2°</t>
  </si>
  <si>
    <t>PECO/JUAN</t>
  </si>
  <si>
    <t>3°</t>
  </si>
  <si>
    <t>PECO/YAMI</t>
  </si>
  <si>
    <t>4º</t>
  </si>
  <si>
    <t>FRANCO/JUAN</t>
  </si>
  <si>
    <t>5º</t>
  </si>
  <si>
    <t>6º</t>
  </si>
  <si>
    <t>JUAN/YAMI</t>
  </si>
  <si>
    <t>MES ABRIL</t>
  </si>
  <si>
    <t>FERIADO</t>
  </si>
  <si>
    <t>sin informacion</t>
  </si>
  <si>
    <t>OK</t>
  </si>
  <si>
    <t xml:space="preserve">SUSPENDIDO AUSENTE JUAN </t>
  </si>
  <si>
    <t>SUSPENDIDO</t>
  </si>
  <si>
    <t>PENDIENTE CHIPPER</t>
  </si>
  <si>
    <t>MES MAYO</t>
  </si>
  <si>
    <t>PENDIENTE</t>
  </si>
  <si>
    <t>ok</t>
  </si>
  <si>
    <t>OK CHIPPER</t>
  </si>
  <si>
    <t>OK ESCUELA</t>
  </si>
  <si>
    <t>MES JUNIO</t>
  </si>
  <si>
    <t>CEF</t>
  </si>
  <si>
    <t>torneo atletismo</t>
  </si>
  <si>
    <t>SUSP.</t>
  </si>
  <si>
    <t>MES JULIO</t>
  </si>
  <si>
    <t>CHIPPER</t>
  </si>
  <si>
    <t>JORNADA INSTITUCIONAL</t>
  </si>
  <si>
    <t>no hubo clases/acto escolar</t>
  </si>
  <si>
    <t>COLEGIO</t>
  </si>
  <si>
    <t>suspendido Ausente peco</t>
  </si>
  <si>
    <t xml:space="preserve">ok </t>
  </si>
  <si>
    <t>COLEGIO ok</t>
  </si>
  <si>
    <t>ok BOX</t>
  </si>
  <si>
    <t>MES  AGOSTO</t>
  </si>
  <si>
    <t>YAMILA</t>
  </si>
  <si>
    <t>BASCO</t>
  </si>
  <si>
    <t>PECO</t>
  </si>
  <si>
    <t>MES SEPTIEMBRE</t>
  </si>
  <si>
    <t>DIA DEL MAESTRO</t>
  </si>
  <si>
    <t>MES OCTUBRE</t>
  </si>
  <si>
    <t>JUAN/CECI</t>
  </si>
  <si>
    <t>CECI / BASCO</t>
  </si>
  <si>
    <t>CECI / JUAN</t>
  </si>
  <si>
    <t>MES NOVIEMBRE</t>
  </si>
  <si>
    <t>JORNADA</t>
  </si>
  <si>
    <t>SIN ACTIVIDAD</t>
  </si>
  <si>
    <t>TRIMESTRAL</t>
  </si>
  <si>
    <t>CAMPAMENTO</t>
  </si>
  <si>
    <t>SIN COLECTIVO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</si>
</sst>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d/mm"/>
    <numFmt numFmtId="166" formatCode="d/m"/>
    <numFmt numFmtId="167" formatCode="dd/mm/yyyy"/>
    <numFmt numFmtId="168" formatCode="dd-mm-yy"/>
  </numFmts>
  <fonts count="24">
    <font>
      <sz val="11.0"/>
      <color theme="1"/>
      <name val="Calibri"/>
      <scheme val="minor"/>
    </font>
    <font>
      <b/>
      <sz val="18.0"/>
      <color theme="1"/>
      <name val="Arial"/>
    </font>
    <font/>
    <font>
      <sz val="18.0"/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b/>
      <sz val="12.0"/>
      <color theme="1"/>
      <name val="Comic Sans MS"/>
    </font>
    <font>
      <sz val="12.0"/>
      <color theme="1"/>
      <name val="Comic Sans MS"/>
    </font>
    <font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b/>
      <color theme="1"/>
      <name val="Calibri"/>
    </font>
    <font>
      <color rgb="FF38761D"/>
      <name val="Calibri"/>
    </font>
    <font>
      <color rgb="FFCC0000"/>
      <name val="Calibri"/>
    </font>
    <font>
      <color rgb="FF000000"/>
      <name val="Calibri"/>
    </font>
    <font>
      <sz val="11.0"/>
      <color rgb="FF000000"/>
      <name val="Calibri"/>
    </font>
    <font>
      <color rgb="FF6AA84F"/>
      <name val="Calibri"/>
    </font>
    <font>
      <b/>
      <sz val="11.0"/>
      <color theme="1"/>
      <name val="Calibri"/>
    </font>
    <font>
      <color rgb="FF434343"/>
      <name val="Calibri"/>
    </font>
    <font>
      <sz val="19.0"/>
      <color theme="1"/>
      <name val="Calibri"/>
    </font>
    <font>
      <color rgb="FFFF0000"/>
      <name val="Calibri"/>
    </font>
    <font>
      <sz val="11.0"/>
      <color rgb="FFFF0000"/>
      <name val="Calibri"/>
    </font>
    <font>
      <sz val="9.0"/>
      <color rgb="FFFF00FF"/>
      <name val="Calibri"/>
    </font>
    <font>
      <sz val="11.0"/>
      <color rgb="FF38761D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3" numFmtId="164" xfId="0" applyAlignment="1" applyFont="1" applyNumberFormat="1">
      <alignment readingOrder="0"/>
    </xf>
    <xf borderId="1" fillId="3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right" readingOrder="0" vertical="center"/>
    </xf>
    <xf borderId="2" fillId="3" fontId="1" numFmtId="164" xfId="0" applyAlignment="1" applyBorder="1" applyFill="1" applyFont="1" applyNumberFormat="1">
      <alignment horizontal="left" readingOrder="0" vertical="center"/>
    </xf>
    <xf borderId="4" fillId="3" fontId="1" numFmtId="0" xfId="0" applyAlignment="1" applyBorder="1" applyFill="1" applyFont="1">
      <alignment horizontal="center" vertical="center"/>
    </xf>
    <xf borderId="4" fillId="3" fontId="1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4" fontId="4" numFmtId="0" xfId="0" applyAlignment="1" applyBorder="1" applyFill="1" applyFont="1">
      <alignment horizontal="center" vertical="center"/>
    </xf>
    <xf borderId="6" fillId="0" fontId="5" numFmtId="0" xfId="0" applyAlignment="1" applyBorder="1" applyFont="1">
      <alignment vertical="center"/>
    </xf>
    <xf borderId="6" fillId="0" fontId="5" numFmtId="0" xfId="0" applyBorder="1" applyFont="1"/>
    <xf borderId="6" fillId="0" fontId="5" numFmtId="0" xfId="0" applyAlignment="1" applyBorder="1" applyFont="1">
      <alignment readingOrder="0" vertical="center"/>
    </xf>
    <xf borderId="6" fillId="0" fontId="5" numFmtId="0" xfId="0" applyAlignment="1" applyBorder="1" applyFont="1">
      <alignment readingOrder="0"/>
    </xf>
    <xf borderId="0" fillId="0" fontId="5" numFmtId="0" xfId="0" applyFont="1"/>
    <xf borderId="6" fillId="0" fontId="5" numFmtId="0" xfId="0" applyAlignment="1" applyBorder="1" applyFont="1">
      <alignment readingOrder="0" shrinkToFit="0" wrapText="1"/>
    </xf>
    <xf borderId="6" fillId="4" fontId="4" numFmtId="0" xfId="0" applyAlignment="1" applyBorder="1" applyFill="1" applyFont="1">
      <alignment horizontal="center" readingOrder="0" vertical="center"/>
    </xf>
    <xf borderId="6" fillId="0" fontId="5" numFmtId="0" xfId="0" applyAlignment="1" applyBorder="1" applyFont="1">
      <alignment horizontal="center" vertical="center"/>
    </xf>
    <xf borderId="1" fillId="5" fontId="6" numFmtId="0" xfId="0" applyAlignment="1" applyBorder="1" applyFill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6" fillId="0" fontId="7" numFmtId="165" xfId="0" applyAlignment="1" applyBorder="1" applyFont="1" applyNumberFormat="1">
      <alignment horizontal="center" readingOrder="0" vertical="center"/>
    </xf>
    <xf borderId="0" fillId="4" fontId="6" numFmtId="0" xfId="0" applyAlignment="1" applyFill="1" applyFont="1">
      <alignment horizontal="center" vertical="center"/>
    </xf>
    <xf borderId="6" fillId="0" fontId="7" numFmtId="0" xfId="0" applyAlignment="1" applyBorder="1" applyFont="1">
      <alignment horizontal="center" readingOrder="0" vertical="center"/>
    </xf>
    <xf borderId="0" fillId="0" fontId="8" numFmtId="0" xfId="0" applyAlignment="1" applyFont="1">
      <alignment readingOrder="0"/>
    </xf>
    <xf borderId="0" fillId="0" fontId="8" numFmtId="0" xfId="0" applyFont="1"/>
    <xf borderId="1" fillId="5" fontId="7" numFmtId="0" xfId="0" applyAlignment="1" applyBorder="1" applyFill="1" applyFont="1">
      <alignment horizontal="center" vertical="center"/>
    </xf>
    <xf borderId="6" fillId="5" fontId="7" numFmtId="0" xfId="0" applyAlignment="1" applyBorder="1" applyFill="1" applyFont="1">
      <alignment horizontal="center" vertical="center"/>
    </xf>
    <xf borderId="6" fillId="0" fontId="7" numFmtId="165" xfId="0" applyAlignment="1" applyBorder="1" applyFont="1" applyNumberFormat="1">
      <alignment horizontal="center" vertical="center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horizontal="right" readingOrder="0" vertical="bottom"/>
    </xf>
    <xf borderId="0" fillId="0" fontId="9" numFmtId="0" xfId="0" applyAlignment="1" applyFont="1">
      <alignment vertical="bottom"/>
    </xf>
    <xf borderId="0" fillId="0" fontId="10" numFmtId="0" xfId="0" applyFont="1"/>
    <xf borderId="6" fillId="6" fontId="7" numFmtId="165" xfId="0" applyAlignment="1" applyBorder="1" applyFill="1" applyFont="1" applyNumberFormat="1">
      <alignment horizontal="center" readingOrder="0" vertical="center"/>
    </xf>
    <xf borderId="6" fillId="6" fontId="7" numFmtId="0" xfId="0" applyAlignment="1" applyBorder="1" applyFill="1" applyFont="1">
      <alignment horizontal="center" readingOrder="0" vertical="center"/>
    </xf>
    <xf borderId="1" fillId="5" fontId="6" numFmtId="0" xfId="0" applyAlignment="1" applyBorder="1" applyFill="1" applyFont="1">
      <alignment horizontal="center"/>
    </xf>
    <xf borderId="0" fillId="0" fontId="9" numFmtId="0" xfId="0" applyAlignment="1" applyFont="1">
      <alignment vertical="bottom"/>
    </xf>
    <xf borderId="1" fillId="0" fontId="7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6" fillId="0" fontId="7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/>
    </xf>
    <xf borderId="7" fillId="0" fontId="7" numFmtId="0" xfId="0" applyAlignment="1" applyBorder="1" applyFont="1">
      <alignment horizontal="center" readingOrder="0"/>
    </xf>
    <xf borderId="8" fillId="5" fontId="7" numFmtId="0" xfId="0" applyAlignment="1" applyBorder="1" applyFill="1" applyFont="1">
      <alignment horizontal="center"/>
    </xf>
    <xf borderId="7" fillId="0" fontId="2" numFmtId="0" xfId="0" applyBorder="1" applyFont="1"/>
    <xf borderId="7" fillId="5" fontId="7" numFmtId="0" xfId="0" applyAlignment="1" applyBorder="1" applyFill="1" applyFont="1">
      <alignment horizontal="center"/>
    </xf>
    <xf borderId="8" fillId="0" fontId="7" numFmtId="0" xfId="0" applyAlignment="1" applyBorder="1" applyFont="1">
      <alignment horizontal="center"/>
    </xf>
    <xf borderId="7" fillId="0" fontId="7" numFmtId="0" xfId="0" applyAlignment="1" applyBorder="1" applyFont="1">
      <alignment horizontal="center"/>
    </xf>
    <xf borderId="7" fillId="0" fontId="7" numFmtId="165" xfId="0" applyAlignment="1" applyBorder="1" applyFont="1" applyNumberFormat="1">
      <alignment horizontal="center" readingOrder="0"/>
    </xf>
    <xf borderId="7" fillId="0" fontId="7" numFmtId="165" xfId="0" applyAlignment="1" applyBorder="1" applyFont="1" applyNumberFormat="1">
      <alignment horizontal="center"/>
    </xf>
    <xf borderId="7" fillId="0" fontId="7" numFmtId="166" xfId="0" applyAlignment="1" applyBorder="1" applyFont="1" applyNumberFormat="1">
      <alignment horizontal="center" readingOrder="0"/>
    </xf>
    <xf borderId="5" fillId="0" fontId="7" numFmtId="0" xfId="0" applyAlignment="1" applyBorder="1" applyFont="1">
      <alignment horizontal="center"/>
    </xf>
    <xf borderId="1" fillId="7" fontId="11" numFmtId="0" xfId="0" applyAlignment="1" applyBorder="1" applyFill="1" applyFont="1">
      <alignment horizontal="center" vertical="center"/>
    </xf>
    <xf borderId="7" fillId="0" fontId="7" numFmtId="166" xfId="0" applyAlignment="1" applyBorder="1" applyFont="1" applyNumberFormat="1">
      <alignment horizontal="center"/>
    </xf>
    <xf borderId="6" fillId="7" fontId="11" numFmtId="0" xfId="0" applyAlignment="1" applyBorder="1" applyFill="1" applyFont="1">
      <alignment horizontal="center" vertical="center"/>
    </xf>
    <xf borderId="0" fillId="0" fontId="11" numFmtId="0" xfId="0" applyAlignment="1" applyFont="1">
      <alignment horizontal="center" vertical="center"/>
    </xf>
    <xf borderId="6" fillId="0" fontId="11" numFmtId="0" xfId="0" applyAlignment="1" applyBorder="1" applyFont="1">
      <alignment horizontal="center" vertical="center"/>
    </xf>
    <xf borderId="6" fillId="6" fontId="10" numFmtId="0" xfId="0" applyAlignment="1" applyBorder="1" applyFill="1" applyFont="1">
      <alignment horizontal="center" readingOrder="0" vertical="center"/>
    </xf>
    <xf borderId="6" fillId="6" fontId="10" numFmtId="0" xfId="0" applyAlignment="1" applyBorder="1" applyFill="1" applyFont="1">
      <alignment horizontal="center" vertical="center"/>
    </xf>
    <xf borderId="0" fillId="0" fontId="10" numFmtId="0" xfId="0" applyAlignment="1" applyFont="1">
      <alignment horizontal="center" vertical="center"/>
    </xf>
    <xf borderId="6" fillId="0" fontId="10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readingOrder="0" vertical="center"/>
    </xf>
    <xf borderId="6" fillId="6" fontId="12" numFmtId="0" xfId="0" applyAlignment="1" applyBorder="1" applyFill="1" applyFont="1">
      <alignment horizontal="center" shrinkToFit="0" vertical="center" wrapText="1"/>
    </xf>
    <xf borderId="6" fillId="8" fontId="10" numFmtId="165" xfId="0" applyAlignment="1" applyBorder="1" applyFill="1" applyFont="1" applyNumberFormat="1">
      <alignment horizontal="center" vertical="center"/>
    </xf>
    <xf borderId="4" fillId="9" fontId="10" numFmtId="0" xfId="0" applyAlignment="1" applyBorder="1" applyFill="1" applyFont="1">
      <alignment horizontal="center" readingOrder="0" textRotation="255" vertical="center"/>
    </xf>
    <xf borderId="6" fillId="6" fontId="10" numFmtId="165" xfId="0" applyAlignment="1" applyBorder="1" applyFill="1" applyFont="1" applyNumberFormat="1">
      <alignment horizontal="center" vertical="center"/>
    </xf>
    <xf borderId="9" fillId="0" fontId="2" numFmtId="0" xfId="0" applyBorder="1" applyFont="1"/>
    <xf borderId="6" fillId="6" fontId="13" numFmtId="0" xfId="0" applyAlignment="1" applyBorder="1" applyFill="1" applyFont="1">
      <alignment horizontal="center" readingOrder="0" shrinkToFit="0" vertical="center" wrapText="1"/>
    </xf>
    <xf borderId="6" fillId="6" fontId="13" numFmtId="0" xfId="0" applyAlignment="1" applyBorder="1" applyFill="1" applyFont="1">
      <alignment horizontal="center" shrinkToFit="0" vertical="center" wrapText="1"/>
    </xf>
    <xf borderId="6" fillId="6" fontId="12" numFmtId="0" xfId="0" applyAlignment="1" applyBorder="1" applyFill="1" applyFont="1">
      <alignment horizontal="center" readingOrder="0" shrinkToFit="0" vertical="center" wrapText="1"/>
    </xf>
    <xf borderId="0" fillId="0" fontId="10" numFmtId="0" xfId="0" applyAlignment="1" applyFont="1">
      <alignment vertical="center"/>
    </xf>
    <xf borderId="10" fillId="9" fontId="14" numFmtId="0" xfId="0" applyAlignment="1" applyBorder="1" applyFill="1" applyFont="1">
      <alignment horizontal="center" readingOrder="0" shrinkToFit="0" textRotation="255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6" fillId="6" fontId="15" numFmtId="0" xfId="0" applyAlignment="1" applyBorder="1" applyFill="1" applyFont="1">
      <alignment horizontal="center" readingOrder="0" shrinkToFit="0" vertical="center" wrapText="1"/>
    </xf>
    <xf borderId="6" fillId="6" fontId="14" numFmtId="0" xfId="0" applyAlignment="1" applyBorder="1" applyFill="1" applyFont="1">
      <alignment horizontal="center" readingOrder="0" shrinkToFit="0" vertical="center" wrapText="1"/>
    </xf>
    <xf borderId="6" fillId="10" fontId="13" numFmtId="0" xfId="0" applyAlignment="1" applyBorder="1" applyFill="1" applyFont="1">
      <alignment horizontal="center" readingOrder="0" shrinkToFit="0" vertical="center" wrapText="1"/>
    </xf>
    <xf borderId="8" fillId="0" fontId="2" numFmtId="0" xfId="0" applyBorder="1" applyFont="1"/>
    <xf borderId="6" fillId="8" fontId="13" numFmtId="0" xfId="0" applyAlignment="1" applyBorder="1" applyFill="1" applyFont="1">
      <alignment horizontal="center" readingOrder="0" shrinkToFit="0" vertical="center" wrapText="1"/>
    </xf>
    <xf borderId="6" fillId="6" fontId="16" numFmtId="0" xfId="0" applyAlignment="1" applyBorder="1" applyFill="1" applyFont="1">
      <alignment horizontal="center" readingOrder="0" shrinkToFit="0" vertical="center" wrapText="1"/>
    </xf>
    <xf borderId="6" fillId="11" fontId="13" numFmtId="0" xfId="0" applyAlignment="1" applyBorder="1" applyFill="1" applyFont="1">
      <alignment horizontal="center" readingOrder="0" shrinkToFit="0" vertical="center" wrapText="1"/>
    </xf>
    <xf borderId="0" fillId="6" fontId="10" numFmtId="165" xfId="0" applyAlignment="1" applyFill="1" applyFont="1" applyNumberForma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6" fillId="8" fontId="12" numFmtId="0" xfId="0" applyAlignment="1" applyBorder="1" applyFill="1" applyFont="1">
      <alignment horizontal="center" readingOrder="0" shrinkToFit="0" vertical="center" wrapText="1"/>
    </xf>
    <xf borderId="6" fillId="8" fontId="10" numFmtId="0" xfId="0" applyAlignment="1" applyBorder="1" applyFill="1" applyFont="1">
      <alignment horizontal="center" vertical="center"/>
    </xf>
    <xf borderId="0" fillId="6" fontId="10" numFmtId="0" xfId="0" applyAlignment="1" applyFill="1" applyFont="1">
      <alignment horizontal="center" vertical="center"/>
    </xf>
    <xf borderId="3" fillId="7" fontId="17" numFmtId="0" xfId="0" applyAlignment="1" applyBorder="1" applyFill="1" applyFont="1">
      <alignment horizontal="center" vertical="center"/>
    </xf>
    <xf borderId="6" fillId="10" fontId="10" numFmtId="167" xfId="0" applyAlignment="1" applyBorder="1" applyFill="1" applyFont="1" applyNumberFormat="1">
      <alignment horizontal="center" readingOrder="0" vertical="center"/>
    </xf>
    <xf borderId="3" fillId="7" fontId="17" numFmtId="0" xfId="0" applyAlignment="1" applyBorder="1" applyFill="1" applyFont="1">
      <alignment horizontal="center" readingOrder="0" vertical="center"/>
    </xf>
    <xf borderId="6" fillId="8" fontId="12" numFmtId="165" xfId="0" applyAlignment="1" applyBorder="1" applyFill="1" applyFont="1" applyNumberFormat="1">
      <alignment horizontal="center" shrinkToFit="0" vertical="center" wrapText="1"/>
    </xf>
    <xf borderId="6" fillId="10" fontId="10" numFmtId="0" xfId="0" applyAlignment="1" applyBorder="1" applyFill="1" applyFont="1">
      <alignment horizontal="center" readingOrder="0" vertical="center"/>
    </xf>
    <xf borderId="4" fillId="6" fontId="12" numFmtId="0" xfId="0" applyAlignment="1" applyBorder="1" applyFill="1" applyFont="1">
      <alignment horizontal="center" readingOrder="0" shrinkToFit="0" textRotation="180" vertical="center" wrapText="1"/>
    </xf>
    <xf borderId="6" fillId="12" fontId="10" numFmtId="165" xfId="0" applyAlignment="1" applyBorder="1" applyFill="1" applyFont="1" applyNumberFormat="1">
      <alignment horizontal="center" vertical="center"/>
    </xf>
    <xf borderId="6" fillId="10" fontId="14" numFmtId="0" xfId="0" applyAlignment="1" applyBorder="1" applyFill="1" applyFont="1">
      <alignment horizontal="center" readingOrder="0" shrinkToFit="0" vertical="center" wrapText="1"/>
    </xf>
    <xf borderId="6" fillId="6" fontId="12" numFmtId="165" xfId="0" applyAlignment="1" applyBorder="1" applyFill="1" applyFont="1" applyNumberFormat="1">
      <alignment horizontal="center" shrinkToFit="0" vertical="center" wrapText="1"/>
    </xf>
    <xf borderId="6" fillId="12" fontId="10" numFmtId="0" xfId="0" applyAlignment="1" applyBorder="1" applyFill="1" applyFont="1">
      <alignment horizontal="center" vertical="center"/>
    </xf>
    <xf borderId="0" fillId="6" fontId="11" numFmtId="0" xfId="0" applyAlignment="1" applyFill="1" applyFont="1">
      <alignment horizontal="center" vertical="center"/>
    </xf>
    <xf borderId="0" fillId="6" fontId="10" numFmtId="0" xfId="0" applyAlignment="1" applyFill="1" applyFont="1">
      <alignment horizontal="center" readingOrder="0" vertical="center"/>
    </xf>
    <xf borderId="6" fillId="6" fontId="18" numFmtId="0" xfId="0" applyAlignment="1" applyBorder="1" applyFill="1" applyFont="1">
      <alignment horizontal="center" readingOrder="0" shrinkToFit="0" vertical="center" wrapText="1"/>
    </xf>
    <xf borderId="0" fillId="6" fontId="13" numFmtId="0" xfId="0" applyAlignment="1" applyFill="1" applyFont="1">
      <alignment horizontal="center" readingOrder="0" shrinkToFit="0" vertical="center" wrapText="1"/>
    </xf>
    <xf borderId="0" fillId="6" fontId="19" numFmtId="0" xfId="0" applyAlignment="1" applyFill="1" applyFont="1">
      <alignment horizontal="center" textRotation="90" vertical="center"/>
    </xf>
    <xf borderId="0" fillId="6" fontId="12" numFmtId="0" xfId="0" applyAlignment="1" applyFill="1" applyFont="1">
      <alignment horizontal="center" readingOrder="0" shrinkToFit="0" vertical="center" wrapText="1"/>
    </xf>
    <xf borderId="4" fillId="8" fontId="10" numFmtId="0" xfId="0" applyAlignment="1" applyBorder="1" applyFill="1" applyFont="1">
      <alignment horizontal="center" readingOrder="0" textRotation="255" vertical="top"/>
    </xf>
    <xf borderId="6" fillId="6" fontId="16" numFmtId="0" xfId="0" applyAlignment="1" applyBorder="1" applyFill="1" applyFont="1">
      <alignment horizontal="center" shrinkToFit="0" vertical="center" wrapText="1"/>
    </xf>
    <xf borderId="6" fillId="6" fontId="20" numFmtId="0" xfId="0" applyAlignment="1" applyBorder="1" applyFill="1" applyFont="1">
      <alignment horizontal="center" shrinkToFit="0" vertical="center" wrapText="1"/>
    </xf>
    <xf borderId="4" fillId="13" fontId="19" numFmtId="0" xfId="0" applyAlignment="1" applyBorder="1" applyFill="1" applyFont="1">
      <alignment horizontal="center" textRotation="90" vertical="center"/>
    </xf>
    <xf borderId="6" fillId="8" fontId="9" numFmtId="165" xfId="0" applyBorder="1" applyFill="1" applyFont="1" applyNumberFormat="1"/>
    <xf borderId="6" fillId="6" fontId="9" numFmtId="165" xfId="0" applyBorder="1" applyFill="1" applyFont="1" applyNumberFormat="1"/>
    <xf borderId="6" fillId="6" fontId="21" numFmtId="0" xfId="0" applyAlignment="1" applyBorder="1" applyFill="1" applyFont="1">
      <alignment horizontal="center" shrinkToFit="0" wrapText="1"/>
    </xf>
    <xf borderId="6" fillId="14" fontId="9" numFmtId="0" xfId="0" applyAlignment="1" applyBorder="1" applyFill="1" applyFont="1">
      <alignment vertical="center"/>
    </xf>
    <xf borderId="6" fillId="6" fontId="22" numFmtId="0" xfId="0" applyAlignment="1" applyBorder="1" applyFill="1" applyFont="1">
      <alignment horizontal="center" shrinkToFit="0" vertical="center" wrapText="1"/>
    </xf>
    <xf borderId="6" fillId="6" fontId="23" numFmtId="0" xfId="0" applyAlignment="1" applyBorder="1" applyFill="1" applyFont="1">
      <alignment horizontal="center" shrinkToFit="0" wrapText="1"/>
    </xf>
    <xf borderId="6" fillId="6" fontId="23" numFmtId="165" xfId="0" applyAlignment="1" applyBorder="1" applyFill="1" applyFont="1" applyNumberFormat="1">
      <alignment horizontal="center" shrinkToFit="0" wrapText="1"/>
    </xf>
    <xf borderId="6" fillId="6" fontId="23" numFmtId="168" xfId="0" applyAlignment="1" applyBorder="1" applyFill="1" applyFont="1" applyNumberFormat="1">
      <alignment horizontal="center" shrinkToFit="0" wrapText="1"/>
    </xf>
    <xf borderId="6" fillId="6" fontId="9" numFmtId="0" xfId="0" applyBorder="1" applyFill="1" applyFont="1"/>
    <xf borderId="0" fillId="15" fontId="10" numFmtId="0" xfId="0" applyAlignment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1.0"/>
    <col customWidth="1" min="2" max="2" width="27.86"/>
    <col customWidth="1" min="3" max="3" width="39.29"/>
    <col customWidth="1" min="4" max="5" width="31.71"/>
    <col customWidth="1" min="6" max="23" width="10.71"/>
  </cols>
  <sheetData>
    <row r="1" ht="30.0" customHeight="1">
      <c r="A1" s="1" t="s">
        <v>0</v>
      </c>
      <c r="B1" s="2"/>
      <c r="C1" s="2"/>
      <c r="D1" s="2"/>
      <c r="E1" s="3"/>
      <c r="F1" s="4"/>
      <c r="G1" s="4"/>
      <c r="H1" s="5">
        <v>46293.0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30.0" customHeight="1">
      <c r="A2" s="7" t="s">
        <v>4</v>
      </c>
      <c r="B2" s="2"/>
      <c r="C2" s="2"/>
      <c r="D2" s="8">
        <f>H1</f>
        <v>46293</v>
      </c>
      <c r="E2" s="3"/>
      <c r="F2" s="4"/>
      <c r="G2" s="4"/>
      <c r="H2" s="5">
        <v>46294.0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30.0" customHeight="1">
      <c r="A3" s="9" t="s">
        <v>5</v>
      </c>
      <c r="B3" s="10" t="s">
        <v>6</v>
      </c>
      <c r="C3" s="10" t="s">
        <v>7</v>
      </c>
      <c r="D3" s="10" t="s">
        <v>8</v>
      </c>
      <c r="E3" s="9" t="s">
        <v>9</v>
      </c>
      <c r="F3" s="4"/>
      <c r="G3" s="4"/>
      <c r="H3" s="5">
        <v>46295.0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30.0" customHeight="1">
      <c r="A4" s="11"/>
      <c r="B4" s="11"/>
      <c r="C4" s="11"/>
      <c r="D4" s="11"/>
      <c r="E4" s="11"/>
      <c r="F4" s="4"/>
      <c r="G4" s="4"/>
      <c r="H4" s="5">
        <f t="shared" ref="H4:H5" si="1">H3+1</f>
        <v>46296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ht="30.0" customHeight="1">
      <c r="A5" s="12" t="s">
        <v>12</v>
      </c>
      <c r="B5" s="14"/>
      <c r="C5" s="16"/>
      <c r="D5" s="14"/>
      <c r="E5" s="14"/>
      <c r="F5" s="17"/>
      <c r="G5" s="17"/>
      <c r="H5" s="5">
        <f t="shared" si="1"/>
        <v>46297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</row>
    <row r="6" ht="30.0" customHeight="1">
      <c r="A6" s="12" t="s">
        <v>12</v>
      </c>
      <c r="B6" s="14"/>
      <c r="C6" s="14"/>
      <c r="D6" s="14"/>
      <c r="E6" s="14"/>
      <c r="F6" s="17"/>
      <c r="G6" s="17"/>
      <c r="H6" s="5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ht="30.0" customHeight="1">
      <c r="A7" s="12" t="s">
        <v>15</v>
      </c>
      <c r="B7" s="14"/>
      <c r="C7" s="14"/>
      <c r="D7" s="14"/>
      <c r="E7" s="14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</row>
    <row r="8" ht="30.0" customHeight="1">
      <c r="A8" s="19" t="s">
        <v>15</v>
      </c>
      <c r="B8" s="14"/>
      <c r="C8" s="14"/>
      <c r="D8" s="14"/>
      <c r="E8" s="14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</row>
    <row r="9" ht="30.0" customHeight="1">
      <c r="A9" s="12" t="s">
        <v>16</v>
      </c>
      <c r="B9" s="14"/>
      <c r="C9" s="14"/>
      <c r="D9" s="14"/>
      <c r="E9" s="14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ht="30.0" customHeight="1">
      <c r="A10" s="12" t="s">
        <v>16</v>
      </c>
      <c r="B10" s="14"/>
      <c r="C10" s="14"/>
      <c r="D10" s="14"/>
      <c r="E10" s="14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ht="30.0" customHeight="1">
      <c r="A11" s="12" t="s">
        <v>20</v>
      </c>
      <c r="B11" s="14"/>
      <c r="C11" s="14"/>
      <c r="D11" s="14"/>
      <c r="E11" s="14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ht="30.0" customHeight="1">
      <c r="A12" s="12" t="s">
        <v>20</v>
      </c>
      <c r="B12" s="14"/>
      <c r="C12" s="14"/>
      <c r="D12" s="14"/>
      <c r="E12" s="14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ht="30.0" customHeight="1">
      <c r="A13" s="12" t="s">
        <v>22</v>
      </c>
      <c r="B13" s="14"/>
      <c r="C13" s="14"/>
      <c r="D13" s="14"/>
      <c r="E13" s="14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ht="30.0" customHeight="1">
      <c r="A14" s="12" t="s">
        <v>22</v>
      </c>
      <c r="B14" s="14"/>
      <c r="C14" s="14"/>
      <c r="D14" s="14"/>
      <c r="E14" s="14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</row>
    <row r="15" ht="30.0" customHeight="1">
      <c r="A15" s="7" t="s">
        <v>21</v>
      </c>
      <c r="B15" s="2"/>
      <c r="C15" s="2"/>
      <c r="D15" s="8">
        <f>H2</f>
        <v>46294</v>
      </c>
      <c r="E15" s="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ht="30.0" customHeight="1">
      <c r="A16" s="9" t="s">
        <v>5</v>
      </c>
      <c r="B16" s="10" t="s">
        <v>6</v>
      </c>
      <c r="C16" s="10" t="s">
        <v>7</v>
      </c>
      <c r="D16" s="10" t="s">
        <v>8</v>
      </c>
      <c r="E16" s="9" t="s">
        <v>9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ht="30.0" customHeight="1">
      <c r="A17" s="11"/>
      <c r="B17" s="11"/>
      <c r="C17" s="11"/>
      <c r="D17" s="11"/>
      <c r="E17" s="1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ht="30.0" customHeight="1">
      <c r="A18" s="12" t="s">
        <v>24</v>
      </c>
      <c r="B18" s="13"/>
      <c r="C18" s="16"/>
      <c r="D18" s="14"/>
      <c r="E18" s="14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</row>
    <row r="19" ht="30.0" customHeight="1">
      <c r="A19" s="12" t="s">
        <v>24</v>
      </c>
      <c r="B19" s="13"/>
      <c r="C19" s="13"/>
      <c r="D19" s="14"/>
      <c r="E19" s="14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</row>
    <row r="20" ht="30.0" customHeight="1">
      <c r="A20" s="12" t="s">
        <v>15</v>
      </c>
      <c r="B20" s="13"/>
      <c r="C20" s="13"/>
      <c r="D20" s="14"/>
      <c r="E20" s="14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 ht="30.0" customHeight="1">
      <c r="A21" s="19" t="s">
        <v>15</v>
      </c>
      <c r="B21" s="13"/>
      <c r="C21" s="13"/>
      <c r="D21" s="14"/>
      <c r="E21" s="14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ht="30.0" customHeight="1">
      <c r="A22" s="12" t="s">
        <v>16</v>
      </c>
      <c r="B22" s="13"/>
      <c r="C22" s="13"/>
      <c r="D22" s="14"/>
      <c r="E22" s="14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 ht="30.0" customHeight="1">
      <c r="A23" s="12" t="s">
        <v>16</v>
      </c>
      <c r="B23" s="13"/>
      <c r="C23" s="13"/>
      <c r="D23" s="14"/>
      <c r="E23" s="14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ht="30.0" customHeight="1">
      <c r="A24" s="12" t="s">
        <v>23</v>
      </c>
      <c r="B24" s="12"/>
      <c r="C24" s="13"/>
      <c r="D24" s="14"/>
      <c r="E24" s="14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ht="30.0" customHeight="1">
      <c r="A25" s="12" t="s">
        <v>23</v>
      </c>
      <c r="B25" s="12"/>
      <c r="C25" s="13"/>
      <c r="D25" s="14"/>
      <c r="E25" s="14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ht="30.0" customHeight="1">
      <c r="A26" s="12" t="s">
        <v>29</v>
      </c>
      <c r="B26" s="13"/>
      <c r="C26" s="13"/>
      <c r="D26" s="14"/>
      <c r="E26" s="14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 ht="30.0" customHeight="1">
      <c r="A27" s="12" t="s">
        <v>29</v>
      </c>
      <c r="B27" s="13"/>
      <c r="C27" s="13"/>
      <c r="D27" s="14"/>
      <c r="E27" s="14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ht="30.0" customHeight="1">
      <c r="A28" s="7" t="s">
        <v>30</v>
      </c>
      <c r="B28" s="2"/>
      <c r="C28" s="2"/>
      <c r="D28" s="8">
        <f>H3</f>
        <v>46295</v>
      </c>
      <c r="E28" s="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30.0" customHeight="1">
      <c r="A29" s="9" t="s">
        <v>5</v>
      </c>
      <c r="B29" s="10" t="s">
        <v>6</v>
      </c>
      <c r="C29" s="10" t="s">
        <v>7</v>
      </c>
      <c r="D29" s="10" t="s">
        <v>8</v>
      </c>
      <c r="E29" s="9" t="s">
        <v>9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30.0" customHeight="1">
      <c r="A30" s="11"/>
      <c r="B30" s="11"/>
      <c r="C30" s="11"/>
      <c r="D30" s="11"/>
      <c r="E30" s="11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30.0" customHeight="1">
      <c r="A31" s="12" t="s">
        <v>11</v>
      </c>
      <c r="B31" s="13"/>
      <c r="C31" s="16"/>
      <c r="D31" s="14"/>
      <c r="E31" s="14"/>
      <c r="F31" s="17"/>
      <c r="G31" s="17"/>
      <c r="H31" s="4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ht="30.0" customHeight="1">
      <c r="A32" s="12" t="s">
        <v>18</v>
      </c>
      <c r="B32" s="13"/>
      <c r="C32" s="13"/>
      <c r="D32" s="14"/>
      <c r="E32" s="14"/>
      <c r="F32" s="17"/>
      <c r="G32" s="17"/>
      <c r="H32" s="4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ht="30.0" customHeight="1">
      <c r="A33" s="12" t="s">
        <v>35</v>
      </c>
      <c r="B33" s="13"/>
      <c r="C33" s="12"/>
      <c r="D33" s="14"/>
      <c r="E33" s="14"/>
      <c r="F33" s="17"/>
      <c r="G33" s="17"/>
      <c r="H33" s="4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ht="30.0" customHeight="1">
      <c r="A34" s="12" t="s">
        <v>35</v>
      </c>
      <c r="B34" s="13"/>
      <c r="C34" s="12"/>
      <c r="D34" s="14"/>
      <c r="E34" s="14"/>
      <c r="F34" s="17"/>
      <c r="G34" s="17"/>
      <c r="H34" s="4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ht="30.0" customHeight="1">
      <c r="A35" s="12" t="s">
        <v>33</v>
      </c>
      <c r="B35" s="13"/>
      <c r="C35" s="13"/>
      <c r="D35" s="14"/>
      <c r="E35" s="14"/>
      <c r="F35" s="17"/>
      <c r="G35" s="17"/>
      <c r="H35" s="4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ht="30.0" customHeight="1">
      <c r="A36" s="12" t="s">
        <v>33</v>
      </c>
      <c r="B36" s="13"/>
      <c r="C36" s="13"/>
      <c r="D36" s="14"/>
      <c r="E36" s="14"/>
      <c r="F36" s="17"/>
      <c r="G36" s="17"/>
      <c r="H36" s="4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 ht="30.0" customHeight="1">
      <c r="A37" s="19" t="s">
        <v>13</v>
      </c>
      <c r="B37" s="13"/>
      <c r="C37" s="13"/>
      <c r="D37" s="14"/>
      <c r="E37" s="14"/>
      <c r="F37" s="17"/>
      <c r="G37" s="17"/>
      <c r="H37" s="4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</row>
    <row r="38" ht="30.0" customHeight="1">
      <c r="A38" s="19" t="s">
        <v>13</v>
      </c>
      <c r="C38" s="13"/>
      <c r="D38" s="14"/>
      <c r="E38" s="14"/>
      <c r="F38" s="17"/>
      <c r="G38" s="17"/>
      <c r="H38" s="4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</row>
    <row r="39" ht="30.0" customHeight="1">
      <c r="A39" s="12" t="s">
        <v>19</v>
      </c>
      <c r="B39" s="13"/>
      <c r="C39" s="13"/>
      <c r="D39" s="14"/>
      <c r="E39" s="14"/>
      <c r="F39" s="17"/>
      <c r="G39" s="17"/>
      <c r="H39" s="4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 ht="30.0" customHeight="1">
      <c r="A40" s="12" t="s">
        <v>40</v>
      </c>
      <c r="B40" s="13"/>
      <c r="C40" s="13"/>
      <c r="D40" s="14"/>
      <c r="E40" s="14"/>
      <c r="F40" s="17"/>
      <c r="G40" s="17"/>
      <c r="H40" s="4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ht="30.0" customHeight="1">
      <c r="A41" s="7" t="s">
        <v>38</v>
      </c>
      <c r="B41" s="2"/>
      <c r="C41" s="2"/>
      <c r="D41" s="8">
        <f>H4</f>
        <v>46296</v>
      </c>
      <c r="E41" s="3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t="30.0" customHeight="1">
      <c r="A42" s="9" t="s">
        <v>5</v>
      </c>
      <c r="B42" s="10" t="s">
        <v>6</v>
      </c>
      <c r="C42" s="10" t="s">
        <v>7</v>
      </c>
      <c r="D42" s="10" t="s">
        <v>8</v>
      </c>
      <c r="E42" s="9" t="s">
        <v>9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t="30.0" customHeight="1">
      <c r="A43" s="11"/>
      <c r="B43" s="11"/>
      <c r="C43" s="11"/>
      <c r="D43" s="11"/>
      <c r="E43" s="11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30.0" customHeight="1">
      <c r="A44" s="12" t="s">
        <v>16</v>
      </c>
      <c r="B44" s="13"/>
      <c r="C44" s="13"/>
      <c r="D44" s="14"/>
      <c r="E44" s="14"/>
      <c r="F44" s="17"/>
      <c r="G44" s="17"/>
      <c r="H44" s="4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</row>
    <row r="45" ht="30.0" customHeight="1">
      <c r="A45" s="12" t="s">
        <v>16</v>
      </c>
      <c r="B45" s="13"/>
      <c r="C45" s="13"/>
      <c r="D45" s="14"/>
      <c r="E45" s="14"/>
      <c r="F45" s="17"/>
      <c r="G45" s="17"/>
      <c r="H45" s="4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ht="30.0" customHeight="1">
      <c r="A46" s="12" t="s">
        <v>18</v>
      </c>
      <c r="B46" s="13"/>
      <c r="C46" s="13"/>
      <c r="D46" s="14"/>
      <c r="E46" s="14"/>
      <c r="F46" s="17"/>
      <c r="G46" s="17"/>
      <c r="H46" s="4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ht="30.0" customHeight="1">
      <c r="A47" s="12" t="s">
        <v>18</v>
      </c>
      <c r="B47" s="13"/>
      <c r="C47" s="13"/>
      <c r="D47" s="14"/>
      <c r="E47" s="14"/>
      <c r="F47" s="17"/>
      <c r="G47" s="17"/>
      <c r="H47" s="4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ht="30.0" customHeight="1">
      <c r="A48" s="12" t="s">
        <v>15</v>
      </c>
      <c r="B48" s="13"/>
      <c r="C48" s="13"/>
      <c r="D48" s="14"/>
      <c r="E48" s="14"/>
      <c r="F48" s="17"/>
      <c r="G48" s="17"/>
      <c r="H48" s="4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</row>
    <row r="49" ht="30.0" customHeight="1">
      <c r="A49" s="12" t="s">
        <v>33</v>
      </c>
      <c r="B49" s="13"/>
      <c r="C49" s="13"/>
      <c r="D49" s="14"/>
      <c r="E49" s="14"/>
      <c r="F49" s="17"/>
      <c r="G49" s="17"/>
      <c r="H49" s="4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ht="30.0" customHeight="1">
      <c r="A50" s="12" t="s">
        <v>29</v>
      </c>
      <c r="B50" s="13"/>
      <c r="C50" s="13"/>
      <c r="D50" s="14"/>
      <c r="E50" s="14"/>
      <c r="F50" s="17"/>
      <c r="G50" s="17"/>
      <c r="H50" s="4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 ht="30.0" customHeight="1">
      <c r="A51" s="12" t="s">
        <v>29</v>
      </c>
      <c r="B51" s="13"/>
      <c r="C51" s="13"/>
      <c r="D51" s="14"/>
      <c r="E51" s="14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</row>
    <row r="52" ht="30.0" customHeight="1">
      <c r="A52" s="7" t="s">
        <v>42</v>
      </c>
      <c r="B52" s="2"/>
      <c r="C52" s="2"/>
      <c r="D52" s="8">
        <f>H5</f>
        <v>46297</v>
      </c>
      <c r="E52" s="3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30.0" customHeight="1">
      <c r="A53" s="9" t="s">
        <v>5</v>
      </c>
      <c r="B53" s="10" t="s">
        <v>6</v>
      </c>
      <c r="C53" s="10" t="s">
        <v>7</v>
      </c>
      <c r="D53" s="10" t="s">
        <v>8</v>
      </c>
      <c r="E53" s="9" t="s">
        <v>9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30.0" customHeight="1">
      <c r="A54" s="11"/>
      <c r="B54" s="11"/>
      <c r="C54" s="11"/>
      <c r="D54" s="11"/>
      <c r="E54" s="11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30.0" customHeight="1">
      <c r="A55" s="12" t="s">
        <v>15</v>
      </c>
      <c r="B55" s="13"/>
      <c r="C55" s="13"/>
      <c r="D55" s="14"/>
      <c r="E55" s="14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 ht="30.0" customHeight="1">
      <c r="A56" s="12" t="s">
        <v>15</v>
      </c>
      <c r="B56" s="13"/>
      <c r="C56" s="13"/>
      <c r="D56" s="14"/>
      <c r="E56" s="14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</row>
    <row r="57" ht="30.0" customHeight="1">
      <c r="A57" s="19" t="s">
        <v>45</v>
      </c>
      <c r="B57" s="13"/>
      <c r="C57" s="13"/>
      <c r="D57" s="14"/>
      <c r="E57" s="14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 ht="30.0" customHeight="1">
      <c r="A58" s="19" t="s">
        <v>45</v>
      </c>
      <c r="B58" s="13"/>
      <c r="C58" s="13"/>
      <c r="D58" s="14"/>
      <c r="E58" s="14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</row>
    <row r="59" ht="30.0" customHeight="1">
      <c r="A59" s="12" t="s">
        <v>37</v>
      </c>
      <c r="B59" s="13"/>
      <c r="C59" s="13"/>
      <c r="D59" s="14"/>
      <c r="E59" s="14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ht="30.0" customHeight="1">
      <c r="A60" s="12" t="s">
        <v>37</v>
      </c>
      <c r="B60" s="13"/>
      <c r="C60" s="13"/>
      <c r="D60" s="14"/>
      <c r="E60" s="14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</row>
    <row r="61" ht="30.0" customHeight="1">
      <c r="A61" s="12" t="s">
        <v>23</v>
      </c>
      <c r="B61" s="13"/>
      <c r="C61" s="13"/>
      <c r="D61" s="14"/>
      <c r="E61" s="14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</row>
    <row r="62" ht="30.0" customHeight="1">
      <c r="A62" s="12" t="s">
        <v>23</v>
      </c>
      <c r="B62" s="13"/>
      <c r="C62" s="13"/>
      <c r="D62" s="14"/>
      <c r="E62" s="14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 ht="30.0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 ht="30.0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</row>
    <row r="65" ht="30.0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 ht="30.0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ht="30.0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</row>
    <row r="68" ht="30.0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</row>
    <row r="69" ht="30.0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 ht="30.0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ht="30.0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 ht="30.0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 ht="30.0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 ht="30.0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</row>
    <row r="75" ht="30.0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</row>
    <row r="76" ht="30.0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</row>
    <row r="77" ht="30.0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 ht="30.0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</row>
    <row r="79" ht="30.0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</row>
    <row r="80" ht="30.0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</row>
    <row r="81" ht="30.0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</row>
    <row r="82" ht="30.0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</row>
    <row r="83" ht="30.0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</row>
    <row r="84" ht="30.0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 ht="30.0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 ht="30.0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</row>
    <row r="87" ht="30.0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</row>
    <row r="88" ht="30.0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</row>
    <row r="89" ht="30.0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</row>
    <row r="90" ht="30.0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</row>
    <row r="91" ht="30.0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</row>
    <row r="92" ht="30.0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</row>
    <row r="93" ht="30.0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</row>
    <row r="94" ht="30.0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</row>
    <row r="95" ht="30.0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</row>
    <row r="96" ht="30.0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</row>
    <row r="97" ht="30.0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</row>
    <row r="98" ht="30.0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</row>
    <row r="99" ht="30.0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</row>
    <row r="100" ht="30.0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</row>
    <row r="101" ht="30.0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 ht="30.0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</row>
    <row r="103" ht="30.0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</row>
    <row r="104" ht="30.0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 ht="30.0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</row>
    <row r="106" ht="30.0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</row>
    <row r="107" ht="30.0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</row>
    <row r="108" ht="30.0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</row>
    <row r="109" ht="30.0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</row>
    <row r="110" ht="30.0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</row>
    <row r="111" ht="30.0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</row>
    <row r="112" ht="30.0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</row>
    <row r="113" ht="30.0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</row>
    <row r="114" ht="30.0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</row>
    <row r="115" ht="30.0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</row>
    <row r="116" ht="30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</row>
    <row r="117" ht="30.0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</row>
    <row r="118" ht="30.0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</row>
    <row r="119" ht="30.0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</row>
    <row r="120" ht="30.0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</row>
    <row r="121" ht="30.0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</row>
    <row r="122" ht="30.0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</row>
    <row r="123" ht="30.0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</row>
    <row r="124" ht="30.0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</row>
    <row r="125" ht="30.0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</row>
    <row r="126" ht="30.0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</row>
    <row r="127" ht="30.0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</row>
    <row r="128" ht="30.0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</row>
    <row r="129" ht="30.0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</row>
    <row r="130" ht="30.0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</row>
    <row r="131" ht="30.0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</row>
    <row r="132" ht="30.0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</row>
    <row r="133" ht="30.0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</row>
    <row r="134" ht="30.0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</row>
    <row r="135" ht="30.0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</row>
    <row r="136" ht="30.0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</row>
    <row r="137" ht="30.0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</row>
    <row r="138" ht="30.0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</row>
    <row r="139" ht="30.0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</row>
    <row r="140" ht="30.0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</row>
    <row r="141" ht="30.0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</row>
    <row r="142" ht="30.0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</row>
    <row r="143" ht="30.0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</row>
    <row r="144" ht="30.0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</row>
    <row r="145" ht="30.0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</row>
    <row r="146" ht="30.0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</row>
    <row r="147" ht="30.0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</row>
    <row r="148" ht="30.0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</row>
    <row r="149" ht="30.0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</row>
    <row r="150" ht="30.0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</row>
    <row r="151" ht="30.0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</row>
    <row r="152" ht="30.0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</row>
    <row r="153" ht="30.0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</row>
    <row r="154" ht="30.0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</row>
    <row r="155" ht="30.0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</row>
    <row r="156" ht="30.0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</row>
    <row r="157" ht="30.0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</row>
    <row r="158" ht="30.0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</row>
    <row r="159" ht="30.0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</row>
    <row r="160" ht="30.0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</row>
    <row r="161" ht="30.0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</row>
    <row r="162" ht="30.0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</row>
    <row r="163" ht="30.0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</row>
    <row r="164" ht="30.0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</row>
    <row r="165" ht="30.0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</row>
    <row r="166" ht="30.0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</row>
    <row r="167" ht="30.0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</row>
    <row r="168" ht="30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</row>
    <row r="169" ht="30.0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</row>
    <row r="170" ht="30.0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</row>
    <row r="171" ht="30.0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</row>
    <row r="172" ht="30.0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</row>
    <row r="173" ht="30.0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</row>
    <row r="174" ht="30.0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</row>
    <row r="175" ht="30.0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</row>
    <row r="176" ht="30.0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</row>
    <row r="177" ht="30.0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</row>
    <row r="178" ht="30.0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</row>
    <row r="179" ht="30.0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</row>
    <row r="180" ht="30.0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</row>
    <row r="181" ht="30.0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</row>
    <row r="182" ht="30.0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</row>
    <row r="183" ht="30.0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</row>
    <row r="184" ht="30.0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</row>
    <row r="185" ht="30.0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</row>
    <row r="186" ht="30.0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</row>
    <row r="187" ht="30.0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</row>
    <row r="188" ht="30.0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</row>
    <row r="189" ht="30.0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</row>
    <row r="190" ht="30.0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</row>
    <row r="191" ht="30.0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</row>
    <row r="192" ht="30.0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</row>
    <row r="193" ht="30.0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</row>
    <row r="194" ht="30.0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</row>
    <row r="195" ht="30.0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</row>
    <row r="196" ht="30.0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</row>
    <row r="197" ht="30.0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</row>
    <row r="198" ht="30.0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</row>
    <row r="199" ht="30.0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</row>
    <row r="200" ht="30.0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</row>
    <row r="201" ht="30.0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</row>
    <row r="202" ht="30.0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</row>
    <row r="203" ht="30.0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</row>
    <row r="204" ht="30.0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</row>
    <row r="205" ht="30.0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</row>
    <row r="206" ht="30.0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</row>
    <row r="207" ht="30.0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</row>
    <row r="208" ht="30.0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</row>
    <row r="209" ht="30.0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</row>
    <row r="210" ht="30.0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</row>
    <row r="211" ht="30.0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</row>
    <row r="212" ht="30.0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</row>
    <row r="213" ht="30.0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</row>
    <row r="214" ht="30.0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</row>
    <row r="215" ht="30.0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</row>
    <row r="216" ht="30.0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</row>
    <row r="217" ht="30.0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</row>
    <row r="218" ht="30.0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</row>
    <row r="219" ht="30.0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</row>
    <row r="220" ht="30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</row>
    <row r="221" ht="30.0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</row>
    <row r="222" ht="30.0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</row>
    <row r="223" ht="30.0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</row>
    <row r="224" ht="30.0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</row>
    <row r="225" ht="30.0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</row>
    <row r="226" ht="30.0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</row>
    <row r="227" ht="30.0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</row>
    <row r="228" ht="30.0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</row>
    <row r="229" ht="30.0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</row>
    <row r="230" ht="30.0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</row>
    <row r="231" ht="30.0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</row>
    <row r="232" ht="30.0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</row>
    <row r="233" ht="30.0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</row>
    <row r="234" ht="30.0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</row>
    <row r="235" ht="30.0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</row>
    <row r="236" ht="30.0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</row>
    <row r="237" ht="30.0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</row>
    <row r="238" ht="30.0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</row>
    <row r="239" ht="30.0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</row>
    <row r="240" ht="30.0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</row>
    <row r="241" ht="30.0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</row>
    <row r="242" ht="30.0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</row>
    <row r="243" ht="30.0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</row>
    <row r="244" ht="30.0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</row>
    <row r="245" ht="30.0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</row>
    <row r="246" ht="30.0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</row>
    <row r="247" ht="30.0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</row>
    <row r="248" ht="30.0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</row>
    <row r="249" ht="30.0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</row>
    <row r="250" ht="30.0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</row>
    <row r="251" ht="30.0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</row>
    <row r="252" ht="30.0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</row>
    <row r="253" ht="30.0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</row>
    <row r="254" ht="30.0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</row>
    <row r="255" ht="30.0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</row>
    <row r="256" ht="30.0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</row>
    <row r="257" ht="30.0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</row>
    <row r="258" ht="30.0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</row>
    <row r="259" ht="30.0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</row>
    <row r="260" ht="30.0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</row>
    <row r="261" ht="30.0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</row>
    <row r="262" ht="30.0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</row>
    <row r="263" ht="30.0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</row>
    <row r="264" ht="30.0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</row>
    <row r="265" ht="30.0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</row>
    <row r="266" ht="30.0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</row>
    <row r="267" ht="30.0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</row>
    <row r="268" ht="30.0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</row>
    <row r="269" ht="30.0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</row>
    <row r="270" ht="30.0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</row>
    <row r="271" ht="30.0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</row>
    <row r="272" ht="30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</row>
    <row r="273" ht="30.0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</row>
    <row r="274" ht="30.0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</row>
    <row r="275" ht="30.0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</row>
    <row r="276" ht="30.0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</row>
    <row r="277" ht="30.0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</row>
    <row r="278" ht="30.0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</row>
    <row r="279" ht="30.0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</row>
    <row r="280" ht="30.0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</row>
    <row r="281" ht="30.0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</row>
    <row r="282" ht="30.0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</row>
    <row r="283" ht="30.0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</row>
    <row r="284" ht="30.0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</row>
    <row r="285" ht="30.0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</row>
    <row r="286" ht="30.0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</row>
    <row r="287" ht="30.0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</row>
    <row r="288" ht="30.0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</row>
    <row r="289" ht="30.0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</row>
    <row r="290" ht="30.0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</row>
    <row r="291" ht="30.0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</row>
    <row r="292" ht="30.0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</row>
    <row r="293" ht="30.0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</row>
    <row r="294" ht="30.0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</row>
    <row r="295" ht="30.0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</row>
    <row r="296" ht="30.0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</row>
    <row r="297" ht="30.0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</row>
    <row r="298" ht="30.0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</row>
    <row r="299" ht="30.0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</row>
    <row r="300" ht="30.0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</row>
    <row r="301" ht="30.0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</row>
    <row r="302" ht="30.0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</row>
    <row r="303" ht="30.0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</row>
    <row r="304" ht="30.0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</row>
    <row r="305" ht="30.0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</row>
    <row r="306" ht="30.0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</row>
    <row r="307" ht="30.0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</row>
    <row r="308" ht="30.0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</row>
    <row r="309" ht="30.0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</row>
    <row r="310" ht="30.0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</row>
    <row r="311" ht="30.0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</row>
    <row r="312" ht="30.0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</row>
    <row r="313" ht="30.0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</row>
    <row r="314" ht="30.0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</row>
    <row r="315" ht="30.0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</row>
    <row r="316" ht="30.0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</row>
    <row r="317" ht="30.0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</row>
    <row r="318" ht="30.0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</row>
    <row r="319" ht="30.0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</row>
    <row r="320" ht="30.0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</row>
    <row r="321" ht="30.0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</row>
    <row r="322" ht="30.0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</row>
    <row r="323" ht="30.0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</row>
    <row r="324" ht="30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</row>
    <row r="325" ht="30.0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</row>
    <row r="326" ht="30.0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</row>
    <row r="327" ht="30.0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</row>
    <row r="328" ht="30.0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</row>
    <row r="329" ht="30.0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</row>
    <row r="330" ht="30.0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</row>
    <row r="331" ht="30.0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</row>
    <row r="332" ht="30.0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</row>
    <row r="333" ht="30.0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</row>
    <row r="334" ht="30.0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</row>
    <row r="335" ht="30.0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</row>
    <row r="336" ht="30.0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</row>
    <row r="337" ht="30.0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</row>
    <row r="338" ht="30.0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</row>
    <row r="339" ht="30.0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</row>
    <row r="340" ht="30.0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</row>
    <row r="341" ht="30.0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</row>
    <row r="342" ht="30.0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</row>
    <row r="343" ht="30.0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</row>
    <row r="344" ht="30.0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</row>
    <row r="345" ht="30.0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</row>
    <row r="346" ht="30.0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</row>
    <row r="347" ht="30.0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</row>
    <row r="348" ht="30.0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</row>
    <row r="349" ht="30.0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</row>
    <row r="350" ht="30.0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</row>
    <row r="351" ht="30.0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</row>
    <row r="352" ht="30.0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</row>
    <row r="353" ht="30.0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</row>
    <row r="354" ht="30.0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</row>
    <row r="355" ht="30.0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</row>
    <row r="356" ht="30.0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</row>
    <row r="357" ht="30.0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</row>
    <row r="358" ht="30.0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</row>
    <row r="359" ht="30.0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</row>
    <row r="360" ht="30.0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</row>
    <row r="361" ht="30.0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</row>
    <row r="362" ht="30.0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</row>
    <row r="363" ht="30.0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</row>
    <row r="364" ht="30.0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</row>
    <row r="365" ht="30.0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</row>
    <row r="366" ht="30.0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</row>
    <row r="367" ht="30.0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</row>
    <row r="368" ht="30.0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</row>
    <row r="369" ht="30.0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</row>
    <row r="370" ht="30.0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</row>
    <row r="371" ht="30.0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</row>
    <row r="372" ht="30.0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</row>
    <row r="373" ht="30.0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</row>
    <row r="374" ht="30.0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</row>
    <row r="375" ht="30.0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</row>
    <row r="376" ht="30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</row>
    <row r="377" ht="30.0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</row>
    <row r="378" ht="30.0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</row>
    <row r="379" ht="30.0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</row>
    <row r="380" ht="30.0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</row>
    <row r="381" ht="30.0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</row>
    <row r="382" ht="30.0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</row>
    <row r="383" ht="30.0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</row>
    <row r="384" ht="30.0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</row>
    <row r="385" ht="30.0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</row>
    <row r="386" ht="30.0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</row>
    <row r="387" ht="30.0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</row>
    <row r="388" ht="30.0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</row>
    <row r="389" ht="30.0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</row>
    <row r="390" ht="30.0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</row>
    <row r="391" ht="30.0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</row>
    <row r="392" ht="30.0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</row>
    <row r="393" ht="30.0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</row>
    <row r="394" ht="30.0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</row>
    <row r="395" ht="30.0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</row>
    <row r="396" ht="30.0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</row>
    <row r="397" ht="30.0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</row>
    <row r="398" ht="30.0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</row>
    <row r="399" ht="30.0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</row>
    <row r="400" ht="30.0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</row>
    <row r="401" ht="30.0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</row>
    <row r="402" ht="30.0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</row>
    <row r="403" ht="30.0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</row>
    <row r="404" ht="30.0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</row>
    <row r="405" ht="30.0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</row>
    <row r="406" ht="30.0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</row>
    <row r="407" ht="30.0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</row>
    <row r="408" ht="30.0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</row>
    <row r="409" ht="30.0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</row>
    <row r="410" ht="30.0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</row>
    <row r="411" ht="30.0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</row>
    <row r="412" ht="30.0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</row>
    <row r="413" ht="30.0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</row>
    <row r="414" ht="30.0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</row>
    <row r="415" ht="30.0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</row>
    <row r="416" ht="30.0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</row>
    <row r="417" ht="30.0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</row>
    <row r="418" ht="30.0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</row>
    <row r="419" ht="30.0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</row>
    <row r="420" ht="30.0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</row>
    <row r="421" ht="30.0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</row>
    <row r="422" ht="30.0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</row>
    <row r="423" ht="30.0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</row>
    <row r="424" ht="30.0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</row>
    <row r="425" ht="30.0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</row>
    <row r="426" ht="30.0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</row>
    <row r="427" ht="30.0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</row>
    <row r="428" ht="30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</row>
    <row r="429" ht="30.0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</row>
    <row r="430" ht="30.0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</row>
    <row r="431" ht="30.0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</row>
    <row r="432" ht="30.0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</row>
    <row r="433" ht="30.0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</row>
    <row r="434" ht="30.0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</row>
    <row r="435" ht="30.0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</row>
    <row r="436" ht="30.0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</row>
    <row r="437" ht="30.0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</row>
    <row r="438" ht="30.0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</row>
    <row r="439" ht="30.0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</row>
    <row r="440" ht="30.0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</row>
    <row r="441" ht="30.0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</row>
    <row r="442" ht="30.0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</row>
    <row r="443" ht="30.0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</row>
    <row r="444" ht="30.0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</row>
    <row r="445" ht="30.0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</row>
    <row r="446" ht="30.0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</row>
    <row r="447" ht="30.0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</row>
    <row r="448" ht="30.0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</row>
    <row r="449" ht="30.0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</row>
    <row r="450" ht="30.0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</row>
    <row r="451" ht="30.0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</row>
    <row r="452" ht="30.0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</row>
    <row r="453" ht="30.0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</row>
    <row r="454" ht="30.0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</row>
    <row r="455" ht="30.0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</row>
    <row r="456" ht="30.0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</row>
    <row r="457" ht="30.0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</row>
    <row r="458" ht="30.0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</row>
    <row r="459" ht="30.0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</row>
    <row r="460" ht="30.0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</row>
    <row r="461" ht="30.0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</row>
    <row r="462" ht="30.0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</row>
    <row r="463" ht="30.0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</row>
    <row r="464" ht="30.0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</row>
    <row r="465" ht="30.0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</row>
    <row r="466" ht="30.0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</row>
    <row r="467" ht="30.0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</row>
    <row r="468" ht="30.0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</row>
    <row r="469" ht="30.0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</row>
    <row r="470" ht="30.0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</row>
    <row r="471" ht="30.0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</row>
    <row r="472" ht="30.0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</row>
    <row r="473" ht="30.0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</row>
    <row r="474" ht="30.0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</row>
    <row r="475" ht="30.0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</row>
    <row r="476" ht="30.0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</row>
    <row r="477" ht="30.0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</row>
    <row r="478" ht="30.0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</row>
    <row r="479" ht="30.0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</row>
    <row r="480" ht="30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</row>
    <row r="481" ht="30.0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</row>
    <row r="482" ht="30.0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</row>
    <row r="483" ht="30.0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</row>
    <row r="484" ht="30.0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</row>
    <row r="485" ht="30.0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</row>
    <row r="486" ht="30.0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</row>
    <row r="487" ht="30.0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</row>
    <row r="488" ht="30.0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</row>
    <row r="489" ht="30.0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</row>
    <row r="490" ht="30.0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</row>
    <row r="491" ht="30.0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</row>
    <row r="492" ht="30.0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</row>
    <row r="493" ht="30.0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</row>
    <row r="494" ht="30.0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</row>
    <row r="495" ht="30.0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</row>
    <row r="496" ht="30.0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</row>
    <row r="497" ht="30.0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</row>
    <row r="498" ht="30.0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</row>
    <row r="499" ht="30.0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</row>
    <row r="500" ht="30.0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</row>
    <row r="501" ht="30.0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</row>
    <row r="502" ht="30.0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</row>
    <row r="503" ht="30.0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</row>
    <row r="504" ht="30.0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</row>
    <row r="505" ht="30.0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</row>
    <row r="506" ht="30.0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</row>
    <row r="507" ht="30.0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</row>
    <row r="508" ht="30.0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</row>
    <row r="509" ht="30.0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</row>
    <row r="510" ht="30.0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</row>
    <row r="511" ht="30.0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</row>
    <row r="512" ht="30.0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</row>
    <row r="513" ht="30.0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</row>
    <row r="514" ht="30.0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</row>
    <row r="515" ht="30.0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</row>
    <row r="516" ht="30.0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</row>
    <row r="517" ht="30.0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</row>
    <row r="518" ht="30.0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</row>
    <row r="519" ht="30.0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</row>
    <row r="520" ht="30.0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</row>
    <row r="521" ht="30.0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</row>
    <row r="522" ht="30.0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</row>
    <row r="523" ht="30.0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</row>
    <row r="524" ht="30.0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</row>
    <row r="525" ht="30.0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</row>
    <row r="526" ht="30.0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</row>
    <row r="527" ht="30.0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</row>
    <row r="528" ht="30.0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</row>
    <row r="529" ht="30.0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</row>
    <row r="530" ht="30.0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</row>
    <row r="531" ht="30.0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</row>
    <row r="532" ht="30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</row>
    <row r="533" ht="30.0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</row>
    <row r="534" ht="30.0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</row>
    <row r="535" ht="30.0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</row>
    <row r="536" ht="30.0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</row>
    <row r="537" ht="30.0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</row>
    <row r="538" ht="30.0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</row>
    <row r="539" ht="30.0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</row>
    <row r="540" ht="30.0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</row>
    <row r="541" ht="30.0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</row>
    <row r="542" ht="30.0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</row>
    <row r="543" ht="30.0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</row>
    <row r="544" ht="30.0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</row>
    <row r="545" ht="30.0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</row>
    <row r="546" ht="30.0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</row>
    <row r="547" ht="30.0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</row>
    <row r="548" ht="30.0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</row>
    <row r="549" ht="30.0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</row>
    <row r="550" ht="30.0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</row>
    <row r="551" ht="30.0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</row>
    <row r="552" ht="30.0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</row>
    <row r="553" ht="30.0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</row>
    <row r="554" ht="30.0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</row>
    <row r="555" ht="30.0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</row>
    <row r="556" ht="30.0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</row>
    <row r="557" ht="30.0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</row>
    <row r="558" ht="30.0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</row>
    <row r="559" ht="30.0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</row>
    <row r="560" ht="30.0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</row>
    <row r="561" ht="30.0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</row>
    <row r="562" ht="30.0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</row>
    <row r="563" ht="30.0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</row>
    <row r="564" ht="30.0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</row>
    <row r="565" ht="30.0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</row>
    <row r="566" ht="30.0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</row>
    <row r="567" ht="30.0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</row>
    <row r="568" ht="30.0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</row>
    <row r="569" ht="30.0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</row>
    <row r="570" ht="30.0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</row>
    <row r="571" ht="30.0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</row>
    <row r="572" ht="30.0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</row>
    <row r="573" ht="30.0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</row>
    <row r="574" ht="30.0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</row>
    <row r="575" ht="30.0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</row>
    <row r="576" ht="30.0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</row>
    <row r="577" ht="30.0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</row>
    <row r="578" ht="30.0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</row>
    <row r="579" ht="30.0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</row>
    <row r="580" ht="30.0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</row>
    <row r="581" ht="30.0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</row>
    <row r="582" ht="30.0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</row>
    <row r="583" ht="30.0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</row>
    <row r="584" ht="30.0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</row>
    <row r="585" ht="30.0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</row>
    <row r="586" ht="30.0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</row>
    <row r="587" ht="30.0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</row>
    <row r="588" ht="30.0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</row>
    <row r="589" ht="30.0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</row>
    <row r="590" ht="30.0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</row>
    <row r="591" ht="30.0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</row>
    <row r="592" ht="30.0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</row>
    <row r="593" ht="30.0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</row>
    <row r="594" ht="30.0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</row>
    <row r="595" ht="30.0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</row>
    <row r="596" ht="30.0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</row>
    <row r="597" ht="30.0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</row>
    <row r="598" ht="30.0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</row>
    <row r="599" ht="30.0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</row>
    <row r="600" ht="30.0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</row>
    <row r="601" ht="30.0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</row>
    <row r="602" ht="30.0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</row>
    <row r="603" ht="30.0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</row>
    <row r="604" ht="30.0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</row>
    <row r="605" ht="30.0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</row>
    <row r="606" ht="30.0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</row>
    <row r="607" ht="30.0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</row>
    <row r="608" ht="30.0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</row>
    <row r="609" ht="30.0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</row>
    <row r="610" ht="30.0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</row>
    <row r="611" ht="30.0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</row>
    <row r="612" ht="30.0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</row>
    <row r="613" ht="30.0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</row>
    <row r="614" ht="30.0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</row>
    <row r="615" ht="30.0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</row>
    <row r="616" ht="30.0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</row>
    <row r="617" ht="30.0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</row>
    <row r="618" ht="30.0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</row>
    <row r="619" ht="30.0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</row>
    <row r="620" ht="30.0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</row>
    <row r="621" ht="30.0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</row>
    <row r="622" ht="30.0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</row>
    <row r="623" ht="30.0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</row>
    <row r="624" ht="30.0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</row>
    <row r="625" ht="30.0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</row>
    <row r="626" ht="30.0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</row>
    <row r="627" ht="30.0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</row>
    <row r="628" ht="30.0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</row>
    <row r="629" ht="30.0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</row>
    <row r="630" ht="30.0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</row>
    <row r="631" ht="30.0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</row>
    <row r="632" ht="30.0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</row>
    <row r="633" ht="30.0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</row>
    <row r="634" ht="30.0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</row>
    <row r="635" ht="30.0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</row>
    <row r="636" ht="30.0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</row>
    <row r="637" ht="30.0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</row>
    <row r="638" ht="30.0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</row>
    <row r="639" ht="30.0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</row>
    <row r="640" ht="30.0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</row>
    <row r="641" ht="30.0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</row>
    <row r="642" ht="30.0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</row>
    <row r="643" ht="30.0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</row>
    <row r="644" ht="30.0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</row>
    <row r="645" ht="30.0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</row>
    <row r="646" ht="30.0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</row>
    <row r="647" ht="30.0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</row>
    <row r="648" ht="30.0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</row>
    <row r="649" ht="30.0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</row>
    <row r="650" ht="30.0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</row>
    <row r="651" ht="30.0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</row>
    <row r="652" ht="30.0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</row>
    <row r="653" ht="30.0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</row>
    <row r="654" ht="30.0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</row>
    <row r="655" ht="30.0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</row>
    <row r="656" ht="30.0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</row>
    <row r="657" ht="30.0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</row>
    <row r="658" ht="30.0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</row>
    <row r="659" ht="30.0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</row>
    <row r="660" ht="30.0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</row>
    <row r="661" ht="30.0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</row>
    <row r="662" ht="30.0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</row>
    <row r="663" ht="30.0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</row>
    <row r="664" ht="30.0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</row>
    <row r="665" ht="30.0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</row>
    <row r="666" ht="30.0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</row>
    <row r="667" ht="30.0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</row>
    <row r="668" ht="30.0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</row>
    <row r="669" ht="30.0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</row>
    <row r="670" ht="30.0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</row>
    <row r="671" ht="30.0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</row>
    <row r="672" ht="30.0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</row>
    <row r="673" ht="30.0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</row>
    <row r="674" ht="30.0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</row>
    <row r="675" ht="30.0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</row>
    <row r="676" ht="30.0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</row>
    <row r="677" ht="30.0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</row>
    <row r="678" ht="30.0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</row>
    <row r="679" ht="30.0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</row>
    <row r="680" ht="30.0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</row>
    <row r="681" ht="30.0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</row>
    <row r="682" ht="30.0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</row>
    <row r="683" ht="30.0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</row>
    <row r="684" ht="30.0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</row>
    <row r="685" ht="30.0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</row>
    <row r="686" ht="30.0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</row>
    <row r="687" ht="30.0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</row>
    <row r="688" ht="30.0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</row>
    <row r="689" ht="30.0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</row>
    <row r="690" ht="30.0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</row>
    <row r="691" ht="30.0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</row>
    <row r="692" ht="30.0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</row>
    <row r="693" ht="30.0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</row>
    <row r="694" ht="30.0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</row>
    <row r="695" ht="30.0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</row>
    <row r="696" ht="30.0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</row>
    <row r="697" ht="30.0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</row>
    <row r="698" ht="30.0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</row>
    <row r="699" ht="30.0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</row>
    <row r="700" ht="30.0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</row>
    <row r="701" ht="30.0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</row>
    <row r="702" ht="30.0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</row>
    <row r="703" ht="30.0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</row>
    <row r="704" ht="30.0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</row>
    <row r="705" ht="30.0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</row>
    <row r="706" ht="30.0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</row>
    <row r="707" ht="30.0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</row>
    <row r="708" ht="30.0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</row>
    <row r="709" ht="30.0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</row>
    <row r="710" ht="30.0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</row>
    <row r="711" ht="30.0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</row>
    <row r="712" ht="30.0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</row>
    <row r="713" ht="30.0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</row>
    <row r="714" ht="30.0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</row>
    <row r="715" ht="30.0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</row>
    <row r="716" ht="30.0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</row>
    <row r="717" ht="30.0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</row>
    <row r="718" ht="30.0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</row>
    <row r="719" ht="30.0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</row>
    <row r="720" ht="30.0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</row>
    <row r="721" ht="30.0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</row>
    <row r="722" ht="30.0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</row>
    <row r="723" ht="30.0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</row>
    <row r="724" ht="30.0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</row>
    <row r="725" ht="30.0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</row>
    <row r="726" ht="30.0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</row>
    <row r="727" ht="30.0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</row>
    <row r="728" ht="30.0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</row>
    <row r="729" ht="30.0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</row>
    <row r="730" ht="30.0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</row>
    <row r="731" ht="30.0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</row>
    <row r="732" ht="30.0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</row>
    <row r="733" ht="30.0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</row>
    <row r="734" ht="30.0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</row>
    <row r="735" ht="30.0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</row>
    <row r="736" ht="30.0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</row>
    <row r="737" ht="30.0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</row>
    <row r="738" ht="30.0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</row>
    <row r="739" ht="30.0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</row>
    <row r="740" ht="30.0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</row>
    <row r="741" ht="30.0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</row>
    <row r="742" ht="30.0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</row>
    <row r="743" ht="30.0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</row>
    <row r="744" ht="30.0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</row>
    <row r="745" ht="30.0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</row>
    <row r="746" ht="30.0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</row>
    <row r="747" ht="30.0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</row>
    <row r="748" ht="30.0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</row>
    <row r="749" ht="30.0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</row>
    <row r="750" ht="30.0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</row>
    <row r="751" ht="30.0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</row>
    <row r="752" ht="30.0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</row>
    <row r="753" ht="30.0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</row>
    <row r="754" ht="30.0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</row>
    <row r="755" ht="30.0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</row>
    <row r="756" ht="30.0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</row>
    <row r="757" ht="30.0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</row>
    <row r="758" ht="30.0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</row>
    <row r="759" ht="30.0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</row>
    <row r="760" ht="30.0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</row>
    <row r="761" ht="30.0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</row>
    <row r="762" ht="30.0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</row>
    <row r="763" ht="30.0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</row>
    <row r="764" ht="30.0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</row>
    <row r="765" ht="30.0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</row>
    <row r="766" ht="30.0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</row>
    <row r="767" ht="30.0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</row>
    <row r="768" ht="30.0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</row>
    <row r="769" ht="30.0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</row>
    <row r="770" ht="30.0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</row>
    <row r="771" ht="30.0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</row>
    <row r="772" ht="30.0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</row>
    <row r="773" ht="30.0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</row>
    <row r="774" ht="30.0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</row>
    <row r="775" ht="30.0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</row>
    <row r="776" ht="30.0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</row>
    <row r="777" ht="30.0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</row>
    <row r="778" ht="30.0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</row>
    <row r="779" ht="30.0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</row>
    <row r="780" ht="30.0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</row>
    <row r="781" ht="30.0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</row>
    <row r="782" ht="30.0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</row>
    <row r="783" ht="30.0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</row>
    <row r="784" ht="30.0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</row>
    <row r="785" ht="30.0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</row>
    <row r="786" ht="30.0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</row>
    <row r="787" ht="30.0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</row>
    <row r="788" ht="30.0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</row>
    <row r="789" ht="30.0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</row>
    <row r="790" ht="30.0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</row>
    <row r="791" ht="30.0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</row>
    <row r="792" ht="30.0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</row>
    <row r="793" ht="30.0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</row>
    <row r="794" ht="30.0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</row>
    <row r="795" ht="30.0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</row>
    <row r="796" ht="30.0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</row>
    <row r="797" ht="30.0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</row>
    <row r="798" ht="30.0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</row>
    <row r="799" ht="30.0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</row>
    <row r="800" ht="30.0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</row>
    <row r="801" ht="30.0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</row>
    <row r="802" ht="30.0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</row>
    <row r="803" ht="30.0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</row>
    <row r="804" ht="30.0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</row>
    <row r="805" ht="30.0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</row>
    <row r="806" ht="30.0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</row>
    <row r="807" ht="30.0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</row>
    <row r="808" ht="30.0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</row>
    <row r="809" ht="30.0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</row>
    <row r="810" ht="30.0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</row>
    <row r="811" ht="30.0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</row>
    <row r="812" ht="30.0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</row>
    <row r="813" ht="30.0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</row>
    <row r="814" ht="30.0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</row>
    <row r="815" ht="30.0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</row>
    <row r="816" ht="30.0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</row>
    <row r="817" ht="30.0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</row>
    <row r="818" ht="30.0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</row>
    <row r="819" ht="30.0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</row>
    <row r="820" ht="30.0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</row>
    <row r="821" ht="30.0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</row>
    <row r="822" ht="30.0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</row>
    <row r="823" ht="30.0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</row>
    <row r="824" ht="30.0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</row>
    <row r="825" ht="30.0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</row>
    <row r="826" ht="30.0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</row>
    <row r="827" ht="30.0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</row>
    <row r="828" ht="30.0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</row>
    <row r="829" ht="30.0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</row>
    <row r="830" ht="30.0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</row>
    <row r="831" ht="30.0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</row>
    <row r="832" ht="30.0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</row>
    <row r="833" ht="30.0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</row>
    <row r="834" ht="30.0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</row>
    <row r="835" ht="30.0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</row>
    <row r="836" ht="30.0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</row>
    <row r="837" ht="30.0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</row>
    <row r="838" ht="30.0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</row>
    <row r="839" ht="30.0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</row>
    <row r="840" ht="30.0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</row>
    <row r="841" ht="30.0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</row>
    <row r="842" ht="30.0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</row>
    <row r="843" ht="30.0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</row>
    <row r="844" ht="30.0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</row>
    <row r="845" ht="30.0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</row>
    <row r="846" ht="30.0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</row>
    <row r="847" ht="30.0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</row>
    <row r="848" ht="30.0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</row>
    <row r="849" ht="30.0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</row>
    <row r="850" ht="30.0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</row>
    <row r="851" ht="30.0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</row>
    <row r="852" ht="30.0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</row>
    <row r="853" ht="30.0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</row>
    <row r="854" ht="30.0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</row>
    <row r="855" ht="30.0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</row>
    <row r="856" ht="30.0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</row>
    <row r="857" ht="30.0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</row>
    <row r="858" ht="30.0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</row>
    <row r="859" ht="30.0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</row>
    <row r="860" ht="30.0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</row>
    <row r="861" ht="30.0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</row>
    <row r="862" ht="30.0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</row>
    <row r="863" ht="30.0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</row>
    <row r="864" ht="30.0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</row>
    <row r="865" ht="30.0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</row>
    <row r="866" ht="30.0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</row>
    <row r="867" ht="30.0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</row>
    <row r="868" ht="30.0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</row>
    <row r="869" ht="30.0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</row>
    <row r="870" ht="30.0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</row>
    <row r="871" ht="30.0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</row>
    <row r="872" ht="30.0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</row>
    <row r="873" ht="30.0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</row>
    <row r="874" ht="30.0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</row>
    <row r="875" ht="30.0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</row>
    <row r="876" ht="30.0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</row>
    <row r="877" ht="30.0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</row>
    <row r="878" ht="30.0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</row>
    <row r="879" ht="30.0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</row>
    <row r="880" ht="30.0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</row>
    <row r="881" ht="30.0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</row>
    <row r="882" ht="30.0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</row>
    <row r="883" ht="30.0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</row>
    <row r="884" ht="30.0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</row>
    <row r="885" ht="30.0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</row>
    <row r="886" ht="30.0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</row>
    <row r="887" ht="30.0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</row>
    <row r="888" ht="30.0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</row>
    <row r="889" ht="30.0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</row>
    <row r="890" ht="30.0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</row>
    <row r="891" ht="30.0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</row>
    <row r="892" ht="30.0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</row>
    <row r="893" ht="30.0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</row>
    <row r="894" ht="30.0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</row>
    <row r="895" ht="30.0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</row>
    <row r="896" ht="30.0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</row>
    <row r="897" ht="30.0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</row>
    <row r="898" ht="30.0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</row>
    <row r="899" ht="30.0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</row>
    <row r="900" ht="30.0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</row>
    <row r="901" ht="30.0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</row>
    <row r="902" ht="30.0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</row>
    <row r="903" ht="30.0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</row>
    <row r="904" ht="30.0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</row>
    <row r="905" ht="30.0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</row>
    <row r="906" ht="30.0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</row>
    <row r="907" ht="30.0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</row>
    <row r="908" ht="30.0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</row>
    <row r="909" ht="30.0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</row>
    <row r="910" ht="30.0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</row>
    <row r="911" ht="30.0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</row>
    <row r="912" ht="30.0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</row>
    <row r="913" ht="30.0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</row>
    <row r="914" ht="30.0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</row>
    <row r="915" ht="30.0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</row>
    <row r="916" ht="30.0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</row>
    <row r="917" ht="30.0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</row>
    <row r="918" ht="30.0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</row>
    <row r="919" ht="30.0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</row>
    <row r="920" ht="30.0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</row>
    <row r="921" ht="30.0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</row>
    <row r="922" ht="30.0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</row>
    <row r="923" ht="30.0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</row>
    <row r="924" ht="30.0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</row>
    <row r="925" ht="30.0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</row>
    <row r="926" ht="30.0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</row>
    <row r="927" ht="30.0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</row>
    <row r="928" ht="30.0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</row>
    <row r="929" ht="30.0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</row>
    <row r="930" ht="30.0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</row>
    <row r="931" ht="30.0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</row>
    <row r="932" ht="30.0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</row>
    <row r="933" ht="30.0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</row>
    <row r="934" ht="30.0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</row>
    <row r="935" ht="30.0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</row>
    <row r="936" ht="30.0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</row>
    <row r="937" ht="30.0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</row>
    <row r="938" ht="30.0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</row>
    <row r="939" ht="30.0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</row>
    <row r="940" ht="30.0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</row>
    <row r="941" ht="30.0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</row>
    <row r="942" ht="30.0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</row>
    <row r="943" ht="30.0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</row>
    <row r="944" ht="30.0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</row>
    <row r="945" ht="30.0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</row>
    <row r="946" ht="30.0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</row>
    <row r="947" ht="30.0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</row>
    <row r="948" ht="30.0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</row>
    <row r="949" ht="30.0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</row>
    <row r="950" ht="30.0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</row>
    <row r="951" ht="30.0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</row>
    <row r="952" ht="30.0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</row>
    <row r="953" ht="30.0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</row>
    <row r="954" ht="30.0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</row>
    <row r="955" ht="30.0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</row>
    <row r="956" ht="30.0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</row>
    <row r="957" ht="30.0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</row>
    <row r="958" ht="30.0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</row>
    <row r="959" ht="30.0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</row>
    <row r="960" ht="30.0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</row>
    <row r="961" ht="30.0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</row>
    <row r="962" ht="30.0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</row>
    <row r="963" ht="30.0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</row>
    <row r="964" ht="30.0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</row>
    <row r="965" ht="30.0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</row>
    <row r="966" ht="30.0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</row>
    <row r="967" ht="30.0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</row>
    <row r="968" ht="30.0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</row>
    <row r="969" ht="30.0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</row>
    <row r="970" ht="30.0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</row>
    <row r="971" ht="30.0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</row>
    <row r="972" ht="30.0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</row>
    <row r="973" ht="30.0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</row>
    <row r="974" ht="30.0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</row>
    <row r="975" ht="30.0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</row>
    <row r="976" ht="30.0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</row>
    <row r="977" ht="30.0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</row>
    <row r="978" ht="30.0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</row>
    <row r="979" ht="30.0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</row>
    <row r="980" ht="30.0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</row>
    <row r="981" ht="30.0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</row>
    <row r="982" ht="30.0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</row>
    <row r="983" ht="30.0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</row>
    <row r="984" ht="30.0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</row>
    <row r="985" ht="30.0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</row>
    <row r="986" ht="30.0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</row>
    <row r="987" ht="30.0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</row>
    <row r="988" ht="30.0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</row>
    <row r="989" ht="30.0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</row>
    <row r="990" ht="30.0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</row>
    <row r="991" ht="30.0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</row>
    <row r="992" ht="30.0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</row>
    <row r="993" ht="30.0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</row>
    <row r="994" ht="30.0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</row>
    <row r="995" ht="30.0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</row>
    <row r="996" ht="30.0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</row>
    <row r="997" ht="30.0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</row>
    <row r="998" ht="30.0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</row>
    <row r="999" ht="30.0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</row>
    <row r="1000" ht="30.0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</row>
    <row r="1001" ht="30.0" customHeight="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</row>
    <row r="1002" ht="30.0" customHeight="1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</row>
    <row r="1003" ht="30.0" customHeight="1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</row>
    <row r="1004" ht="30.0" customHeight="1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</row>
    <row r="1005" ht="30.0" customHeight="1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</row>
    <row r="1006" ht="30.0" customHeight="1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</row>
  </sheetData>
  <mergeCells count="36">
    <mergeCell ref="A1:E1"/>
    <mergeCell ref="A2:C2"/>
    <mergeCell ref="D2:E2"/>
    <mergeCell ref="A3:A4"/>
    <mergeCell ref="B3:B4"/>
    <mergeCell ref="D3:D4"/>
    <mergeCell ref="E3:E4"/>
    <mergeCell ref="C3:C4"/>
    <mergeCell ref="A15:C15"/>
    <mergeCell ref="D15:E15"/>
    <mergeCell ref="A16:A17"/>
    <mergeCell ref="B16:B17"/>
    <mergeCell ref="D16:D17"/>
    <mergeCell ref="E16:E17"/>
    <mergeCell ref="C16:C17"/>
    <mergeCell ref="A28:C28"/>
    <mergeCell ref="D28:E28"/>
    <mergeCell ref="A29:A30"/>
    <mergeCell ref="B29:B30"/>
    <mergeCell ref="D29:D30"/>
    <mergeCell ref="E29:E30"/>
    <mergeCell ref="C42:C43"/>
    <mergeCell ref="A52:C52"/>
    <mergeCell ref="D52:E52"/>
    <mergeCell ref="A53:A54"/>
    <mergeCell ref="B53:B54"/>
    <mergeCell ref="C53:C54"/>
    <mergeCell ref="D53:D54"/>
    <mergeCell ref="E53:E54"/>
    <mergeCell ref="C29:C30"/>
    <mergeCell ref="A41:C41"/>
    <mergeCell ref="D41:E41"/>
    <mergeCell ref="A42:A43"/>
    <mergeCell ref="B42:B43"/>
    <mergeCell ref="D42:D43"/>
    <mergeCell ref="E42:E43"/>
  </mergeCells>
  <printOptions/>
  <pageMargins bottom="0.1429576346184393" footer="0.0" header="0.0" left="0.15748031496062992" right="0.0" top="0.1348730266791692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0.0"/>
    <col customWidth="1" min="2" max="2" width="24.86"/>
    <col customWidth="1" min="3" max="3" width="37.0"/>
    <col customWidth="1" min="4" max="4" width="31.0"/>
    <col customWidth="1" min="5" max="5" width="38.43"/>
    <col customWidth="1" min="6" max="25" width="10.71"/>
  </cols>
  <sheetData>
    <row r="1" ht="30.0" customHeight="1">
      <c r="A1" s="1" t="s">
        <v>1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30.0" customHeight="1">
      <c r="A2" s="7" t="s">
        <v>4</v>
      </c>
      <c r="B2" s="2"/>
      <c r="C2" s="2"/>
      <c r="D2" s="8">
        <f>'1º'!H1</f>
        <v>46293</v>
      </c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30.0" customHeight="1">
      <c r="A3" s="9" t="s">
        <v>5</v>
      </c>
      <c r="B3" s="10" t="s">
        <v>6</v>
      </c>
      <c r="C3" s="10" t="s">
        <v>7</v>
      </c>
      <c r="D3" s="10" t="s">
        <v>8</v>
      </c>
      <c r="E3" s="9" t="s">
        <v>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30.0" customHeight="1">
      <c r="A4" s="11"/>
      <c r="B4" s="11"/>
      <c r="C4" s="11"/>
      <c r="D4" s="11"/>
      <c r="E4" s="11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30.0" customHeight="1">
      <c r="A5" s="12" t="s">
        <v>11</v>
      </c>
      <c r="B5" s="14"/>
      <c r="C5" s="16"/>
      <c r="D5" s="14"/>
      <c r="E5" s="14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ht="30.0" customHeight="1">
      <c r="A6" s="12" t="s">
        <v>11</v>
      </c>
      <c r="B6" s="14"/>
      <c r="C6" s="14"/>
      <c r="D6" s="14"/>
      <c r="E6" s="14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ht="30.0" customHeight="1">
      <c r="A7" s="12" t="s">
        <v>14</v>
      </c>
      <c r="B7" s="12"/>
      <c r="C7" s="14"/>
      <c r="D7" s="14"/>
      <c r="E7" s="14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ht="30.0" customHeight="1">
      <c r="A8" s="12" t="s">
        <v>14</v>
      </c>
      <c r="B8" s="12"/>
      <c r="C8" s="14"/>
      <c r="D8" s="14"/>
      <c r="E8" s="14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ht="30.0" customHeight="1">
      <c r="A9" s="12" t="s">
        <v>17</v>
      </c>
      <c r="B9" s="14"/>
      <c r="C9" s="14"/>
      <c r="D9" s="14"/>
      <c r="E9" s="14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ht="30.0" customHeight="1">
      <c r="A10" s="12" t="s">
        <v>17</v>
      </c>
      <c r="B10" s="14"/>
      <c r="C10" s="14"/>
      <c r="D10" s="14"/>
      <c r="E10" s="14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ht="30.0" customHeight="1">
      <c r="A11" s="12" t="s">
        <v>16</v>
      </c>
      <c r="B11" s="14"/>
      <c r="C11" s="14"/>
      <c r="D11" s="14"/>
      <c r="E11" s="14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ht="30.0" customHeight="1">
      <c r="A12" s="12" t="s">
        <v>16</v>
      </c>
      <c r="B12" s="14"/>
      <c r="C12" s="14"/>
      <c r="D12" s="14"/>
      <c r="E12" s="14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ht="30.0" customHeight="1">
      <c r="A13" s="12" t="s">
        <v>20</v>
      </c>
      <c r="B13" s="14"/>
      <c r="C13" s="14"/>
      <c r="D13" s="14"/>
      <c r="E13" s="14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ht="30.0" customHeight="1">
      <c r="A14" s="12" t="s">
        <v>20</v>
      </c>
      <c r="B14" s="14"/>
      <c r="C14" s="14"/>
      <c r="D14" s="14"/>
      <c r="E14" s="14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ht="30.0" customHeight="1">
      <c r="A15" s="7" t="s">
        <v>21</v>
      </c>
      <c r="B15" s="2"/>
      <c r="C15" s="2"/>
      <c r="D15" s="8">
        <f>'1º'!H2</f>
        <v>46294</v>
      </c>
      <c r="E15" s="3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ht="30.0" customHeight="1">
      <c r="A16" s="9" t="s">
        <v>5</v>
      </c>
      <c r="B16" s="10" t="s">
        <v>6</v>
      </c>
      <c r="C16" s="10" t="s">
        <v>7</v>
      </c>
      <c r="D16" s="10" t="s">
        <v>8</v>
      </c>
      <c r="E16" s="9" t="s">
        <v>9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ht="30.0" customHeight="1">
      <c r="A17" s="11"/>
      <c r="B17" s="11"/>
      <c r="C17" s="11"/>
      <c r="D17" s="11"/>
      <c r="E17" s="11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ht="30.0" customHeight="1">
      <c r="A18" s="12" t="s">
        <v>23</v>
      </c>
      <c r="B18" s="13"/>
      <c r="C18" s="16"/>
      <c r="D18" s="13"/>
      <c r="E18" s="14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ht="30.0" customHeight="1">
      <c r="A19" s="12" t="s">
        <v>23</v>
      </c>
      <c r="B19" s="13"/>
      <c r="C19" s="13"/>
      <c r="D19" s="13"/>
      <c r="E19" s="14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ht="30.0" customHeight="1">
      <c r="A20" s="12" t="s">
        <v>19</v>
      </c>
      <c r="B20" s="13"/>
      <c r="C20" s="13"/>
      <c r="D20" s="13"/>
      <c r="E20" s="14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ht="30.0" customHeight="1">
      <c r="A21" s="12" t="s">
        <v>19</v>
      </c>
      <c r="B21" s="13"/>
      <c r="C21" s="13"/>
      <c r="D21" s="13"/>
      <c r="E21" s="14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ht="30.0" customHeight="1">
      <c r="A22" s="12" t="s">
        <v>15</v>
      </c>
      <c r="B22" s="13"/>
      <c r="C22" s="13"/>
      <c r="D22" s="13"/>
      <c r="E22" s="14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ht="30.0" customHeight="1">
      <c r="A23" s="12" t="s">
        <v>15</v>
      </c>
      <c r="B23" s="13"/>
      <c r="C23" s="13"/>
      <c r="D23" s="13"/>
      <c r="E23" s="14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ht="30.0" customHeight="1">
      <c r="A24" s="12" t="s">
        <v>16</v>
      </c>
      <c r="B24" s="13"/>
      <c r="C24" s="13"/>
      <c r="D24" s="13"/>
      <c r="E24" s="14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ht="30.0" customHeight="1">
      <c r="A25" s="12" t="s">
        <v>16</v>
      </c>
      <c r="B25" s="13"/>
      <c r="C25" s="13"/>
      <c r="D25" s="13"/>
      <c r="E25" s="14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ht="30.0" customHeight="1">
      <c r="A26" s="7" t="s">
        <v>28</v>
      </c>
      <c r="B26" s="2"/>
      <c r="C26" s="2"/>
      <c r="D26" s="8">
        <f>'1º'!H3</f>
        <v>46295</v>
      </c>
      <c r="E26" s="3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ht="30.0" customHeight="1">
      <c r="A27" s="9" t="s">
        <v>5</v>
      </c>
      <c r="B27" s="10" t="s">
        <v>6</v>
      </c>
      <c r="C27" s="10" t="s">
        <v>7</v>
      </c>
      <c r="D27" s="10" t="s">
        <v>8</v>
      </c>
      <c r="E27" s="9" t="s">
        <v>9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ht="30.0" customHeight="1">
      <c r="A28" s="11"/>
      <c r="B28" s="11"/>
      <c r="C28" s="11"/>
      <c r="D28" s="11"/>
      <c r="E28" s="11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ht="30.0" customHeight="1">
      <c r="A29" s="12" t="s">
        <v>31</v>
      </c>
      <c r="B29" s="13"/>
      <c r="C29" s="16"/>
      <c r="D29" s="13"/>
      <c r="E29" s="14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ht="30.0" customHeight="1">
      <c r="A30" s="12" t="s">
        <v>31</v>
      </c>
      <c r="B30" s="13"/>
      <c r="C30" s="13"/>
      <c r="D30" s="13"/>
      <c r="E30" s="14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ht="30.0" customHeight="1">
      <c r="A31" s="12" t="s">
        <v>33</v>
      </c>
      <c r="B31" s="13"/>
      <c r="C31" s="13"/>
      <c r="D31" s="13"/>
      <c r="E31" s="14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ht="30.0" customHeight="1">
      <c r="A32" s="12" t="s">
        <v>33</v>
      </c>
      <c r="B32" s="13"/>
      <c r="C32" s="13"/>
      <c r="D32" s="13"/>
      <c r="E32" s="14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ht="30.0" customHeight="1">
      <c r="A33" s="12" t="s">
        <v>18</v>
      </c>
      <c r="B33" s="13"/>
      <c r="C33" s="13"/>
      <c r="D33" s="13"/>
      <c r="E33" s="14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ht="30.0" customHeight="1">
      <c r="A34" s="12" t="s">
        <v>18</v>
      </c>
      <c r="B34" s="13"/>
      <c r="C34" s="13"/>
      <c r="D34" s="13"/>
      <c r="E34" s="14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ht="30.0" customHeight="1">
      <c r="A35" s="12" t="s">
        <v>19</v>
      </c>
      <c r="B35" s="13"/>
      <c r="C35" s="13"/>
      <c r="D35" s="13"/>
      <c r="E35" s="14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ht="30.0" customHeight="1">
      <c r="A36" s="12" t="s">
        <v>37</v>
      </c>
      <c r="B36" s="13"/>
      <c r="C36" s="13"/>
      <c r="D36" s="13"/>
      <c r="E36" s="14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ht="30.0" customHeight="1">
      <c r="A37" s="12" t="s">
        <v>13</v>
      </c>
      <c r="B37" s="13"/>
      <c r="C37" s="13"/>
      <c r="D37" s="13"/>
      <c r="E37" s="14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ht="30.0" customHeight="1">
      <c r="A38" s="12" t="s">
        <v>13</v>
      </c>
      <c r="B38" s="13"/>
      <c r="C38" s="13"/>
      <c r="D38" s="13"/>
      <c r="E38" s="14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ht="30.0" customHeight="1">
      <c r="A39" s="7" t="s">
        <v>39</v>
      </c>
      <c r="B39" s="2"/>
      <c r="C39" s="2"/>
      <c r="D39" s="8">
        <f>'1º'!H4</f>
        <v>46296</v>
      </c>
      <c r="E39" s="3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ht="30.0" customHeight="1">
      <c r="A40" s="9" t="s">
        <v>5</v>
      </c>
      <c r="B40" s="10" t="s">
        <v>6</v>
      </c>
      <c r="C40" s="10" t="s">
        <v>7</v>
      </c>
      <c r="D40" s="10" t="s">
        <v>8</v>
      </c>
      <c r="E40" s="9" t="s">
        <v>9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ht="30.0" customHeight="1">
      <c r="A41" s="11"/>
      <c r="B41" s="11"/>
      <c r="C41" s="11"/>
      <c r="D41" s="11"/>
      <c r="E41" s="11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ht="30.0" customHeight="1">
      <c r="A42" s="12" t="s">
        <v>15</v>
      </c>
      <c r="B42" s="13"/>
      <c r="C42" s="16"/>
      <c r="D42" s="13"/>
      <c r="E42" s="14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ht="30.0" customHeight="1">
      <c r="A43" s="12" t="s">
        <v>15</v>
      </c>
      <c r="B43" s="13"/>
      <c r="C43" s="13"/>
      <c r="D43" s="13"/>
      <c r="E43" s="14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ht="30.0" customHeight="1">
      <c r="A44" s="12" t="s">
        <v>41</v>
      </c>
      <c r="B44" s="13"/>
      <c r="C44" s="13"/>
      <c r="D44" s="13"/>
      <c r="E44" s="14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ht="30.0" customHeight="1">
      <c r="A45" s="12" t="s">
        <v>16</v>
      </c>
      <c r="B45" s="13"/>
      <c r="C45" s="13"/>
      <c r="D45" s="13"/>
      <c r="E45" s="14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ht="30.0" customHeight="1">
      <c r="A46" s="12" t="s">
        <v>23</v>
      </c>
      <c r="B46" s="13"/>
      <c r="C46" s="13"/>
      <c r="D46" s="13"/>
      <c r="E46" s="14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ht="30.0" customHeight="1">
      <c r="A47" s="12" t="s">
        <v>23</v>
      </c>
      <c r="B47" s="13"/>
      <c r="C47" s="13"/>
      <c r="D47" s="13"/>
      <c r="E47" s="14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ht="30.0" customHeight="1">
      <c r="A48" s="12" t="s">
        <v>33</v>
      </c>
      <c r="B48" s="13"/>
      <c r="C48" s="13"/>
      <c r="D48" s="13"/>
      <c r="E48" s="14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ht="30.0" customHeight="1">
      <c r="A49" s="12" t="s">
        <v>18</v>
      </c>
      <c r="B49" s="13"/>
      <c r="C49" s="13"/>
      <c r="D49" s="13"/>
      <c r="E49" s="14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ht="30.0" customHeight="1">
      <c r="A50" s="19" t="s">
        <v>26</v>
      </c>
      <c r="B50" s="13"/>
      <c r="C50" s="13"/>
      <c r="D50" s="13"/>
      <c r="E50" s="14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ht="30.0" customHeight="1">
      <c r="A51" s="19" t="s">
        <v>26</v>
      </c>
      <c r="B51" s="13"/>
      <c r="C51" s="13"/>
      <c r="D51" s="13"/>
      <c r="E51" s="14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 ht="30.0" customHeight="1">
      <c r="A52" s="7" t="s">
        <v>43</v>
      </c>
      <c r="B52" s="2"/>
      <c r="C52" s="2"/>
      <c r="D52" s="8">
        <f>'1º'!H5</f>
        <v>46297</v>
      </c>
      <c r="E52" s="3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ht="30.0" customHeight="1">
      <c r="A53" s="9" t="s">
        <v>5</v>
      </c>
      <c r="B53" s="10" t="s">
        <v>6</v>
      </c>
      <c r="C53" s="10" t="s">
        <v>7</v>
      </c>
      <c r="D53" s="10" t="s">
        <v>8</v>
      </c>
      <c r="E53" s="9" t="s">
        <v>9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 ht="30.0" customHeight="1">
      <c r="A54" s="11"/>
      <c r="B54" s="11"/>
      <c r="C54" s="11"/>
      <c r="D54" s="11"/>
      <c r="E54" s="11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ht="30.0" customHeight="1">
      <c r="A55" s="12" t="s">
        <v>37</v>
      </c>
      <c r="B55" s="13"/>
      <c r="C55" s="16"/>
      <c r="D55" s="13"/>
      <c r="E55" s="14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ht="30.0" customHeight="1">
      <c r="A56" s="12" t="s">
        <v>37</v>
      </c>
      <c r="B56" s="13"/>
      <c r="C56" s="12"/>
      <c r="D56" s="13"/>
      <c r="E56" s="14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ht="30.0" customHeight="1">
      <c r="A57" s="12" t="s">
        <v>15</v>
      </c>
      <c r="B57" s="13"/>
      <c r="C57" s="13"/>
      <c r="D57" s="13"/>
      <c r="E57" s="14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ht="30.0" customHeight="1">
      <c r="A58" s="12" t="s">
        <v>15</v>
      </c>
      <c r="B58" s="13"/>
      <c r="C58" s="13"/>
      <c r="D58" s="13"/>
      <c r="E58" s="14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ht="30.0" customHeight="1">
      <c r="A59" s="12" t="s">
        <v>46</v>
      </c>
      <c r="B59" s="13"/>
      <c r="C59" s="13"/>
      <c r="D59" s="13"/>
      <c r="E59" s="14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ht="30.0" customHeight="1">
      <c r="A60" s="12" t="s">
        <v>46</v>
      </c>
      <c r="B60" s="13"/>
      <c r="C60" s="13"/>
      <c r="D60" s="13"/>
      <c r="E60" s="14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ht="30.0" customHeight="1">
      <c r="A61" s="19" t="s">
        <v>26</v>
      </c>
      <c r="B61" s="13"/>
      <c r="C61" s="13"/>
      <c r="D61" s="13"/>
      <c r="E61" s="14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ht="30.0" customHeight="1">
      <c r="A62" s="19" t="s">
        <v>26</v>
      </c>
      <c r="B62" s="13"/>
      <c r="C62" s="13"/>
      <c r="D62" s="13"/>
      <c r="E62" s="14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ht="30.0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ht="30.0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ht="30.0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ht="30.0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ht="30.0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ht="30.0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ht="30.0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ht="30.0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 ht="30.0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 ht="30.0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ht="30.0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 ht="30.0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ht="30.0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ht="30.0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ht="30.0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ht="30.0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ht="30.0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ht="30.0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ht="30.0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ht="30.0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ht="30.0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ht="30.0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ht="30.0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ht="30.0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ht="30.0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ht="30.0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ht="30.0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ht="30.0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ht="30.0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ht="30.0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ht="30.0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ht="30.0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ht="30.0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ht="30.0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ht="30.0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ht="30.0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ht="30.0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ht="30.0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ht="30.0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ht="30.0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ht="30.0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ht="30.0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ht="30.0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ht="30.0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ht="30.0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ht="30.0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ht="30.0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ht="30.0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ht="30.0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ht="30.0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ht="30.0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ht="30.0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ht="30.0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ht="30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ht="30.0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ht="30.0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ht="30.0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ht="30.0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ht="30.0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 ht="30.0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ht="30.0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ht="30.0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ht="30.0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ht="30.0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ht="30.0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ht="30.0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ht="30.0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ht="30.0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ht="30.0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ht="30.0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ht="30.0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ht="30.0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ht="30.0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ht="30.0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ht="30.0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ht="30.0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ht="30.0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ht="30.0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ht="30.0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ht="30.0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ht="30.0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ht="30.0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ht="30.0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ht="30.0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ht="30.0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ht="30.0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ht="30.0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ht="30.0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ht="30.0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ht="30.0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ht="30.0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ht="30.0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ht="30.0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ht="30.0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ht="30.0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ht="30.0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ht="30.0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ht="30.0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ht="30.0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ht="30.0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ht="30.0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ht="30.0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ht="30.0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ht="30.0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ht="30.0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ht="30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ht="30.0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ht="30.0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ht="30.0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ht="30.0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ht="30.0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ht="30.0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ht="30.0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ht="30.0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 ht="30.0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ht="30.0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ht="30.0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ht="30.0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ht="30.0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 ht="30.0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ht="30.0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ht="30.0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 ht="30.0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 ht="30.0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ht="30.0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 ht="30.0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ht="30.0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ht="30.0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 ht="30.0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ht="30.0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 ht="30.0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ht="30.0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ht="30.0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 ht="30.0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 ht="30.0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 ht="30.0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 ht="30.0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ht="30.0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 ht="30.0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 ht="30.0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 ht="30.0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 ht="30.0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 ht="30.0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 ht="30.0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 ht="30.0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 ht="30.0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 ht="30.0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 ht="30.0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 ht="30.0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 ht="30.0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 ht="30.0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 ht="30.0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 ht="30.0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 ht="30.0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 ht="30.0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 ht="30.0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 ht="30.0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 ht="30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 ht="30.0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 ht="30.0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 ht="30.0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 ht="30.0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 ht="30.0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 ht="30.0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 ht="30.0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 ht="30.0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 ht="30.0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 ht="30.0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 ht="30.0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 ht="30.0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 ht="30.0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 ht="30.0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 ht="30.0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 ht="30.0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 ht="30.0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 ht="30.0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 ht="30.0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 ht="30.0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 ht="30.0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 ht="30.0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 ht="30.0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 ht="30.0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 ht="30.0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 ht="30.0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 ht="30.0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 ht="30.0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 ht="30.0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 ht="30.0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 ht="30.0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 ht="30.0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 ht="30.0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 ht="30.0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 ht="30.0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 ht="30.0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 ht="30.0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 ht="30.0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 ht="30.0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 ht="30.0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 ht="30.0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 ht="30.0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 ht="30.0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 ht="30.0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 ht="30.0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 ht="30.0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 ht="30.0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 ht="30.0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 ht="30.0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 ht="30.0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 ht="30.0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 ht="30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 ht="30.0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 ht="30.0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 ht="30.0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 ht="30.0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 ht="30.0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 ht="30.0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 ht="30.0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 ht="30.0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 ht="30.0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 ht="30.0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 ht="30.0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 ht="30.0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 ht="30.0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 ht="30.0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 ht="30.0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 ht="30.0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 ht="30.0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 ht="30.0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 ht="30.0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 ht="30.0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 ht="30.0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 ht="30.0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 ht="30.0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 ht="30.0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 ht="30.0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 ht="30.0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 ht="30.0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 ht="30.0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 ht="30.0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 ht="30.0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 ht="30.0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 ht="30.0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 ht="30.0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 ht="30.0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 ht="30.0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 ht="30.0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 ht="30.0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 ht="30.0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 ht="30.0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 ht="30.0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 ht="30.0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 ht="30.0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 ht="30.0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 ht="30.0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 ht="30.0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 ht="30.0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 ht="30.0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 ht="30.0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 ht="30.0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 ht="30.0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 ht="30.0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 ht="30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 ht="30.0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 ht="30.0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 ht="30.0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 ht="30.0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 ht="30.0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 ht="30.0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 ht="30.0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 ht="30.0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 ht="30.0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 ht="30.0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 ht="30.0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 ht="30.0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 ht="30.0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 ht="30.0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 ht="30.0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 ht="30.0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 ht="30.0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 ht="30.0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 ht="30.0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 ht="30.0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 ht="30.0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 ht="30.0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 ht="30.0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 ht="30.0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 ht="30.0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 ht="30.0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 ht="30.0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 ht="30.0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 ht="30.0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 ht="30.0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 ht="30.0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 ht="30.0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 ht="30.0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 ht="30.0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 ht="30.0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 ht="30.0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 ht="30.0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 ht="30.0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 ht="30.0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 ht="30.0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 ht="30.0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 ht="30.0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 ht="30.0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 ht="30.0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 ht="30.0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 ht="30.0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 ht="30.0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 ht="30.0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 ht="30.0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 ht="30.0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 ht="30.0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 ht="30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 ht="30.0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 ht="30.0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 ht="30.0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 ht="30.0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 ht="30.0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 ht="30.0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 ht="30.0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 ht="30.0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 ht="30.0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 ht="30.0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 ht="30.0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 ht="30.0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 ht="30.0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 ht="30.0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 ht="30.0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 ht="30.0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 ht="30.0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 ht="30.0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 ht="30.0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 ht="30.0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 ht="30.0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 ht="30.0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 ht="30.0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 ht="30.0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 ht="30.0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 ht="30.0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 ht="30.0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 ht="30.0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 ht="30.0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 ht="30.0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 ht="30.0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 ht="30.0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 ht="30.0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 ht="30.0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 ht="30.0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 ht="30.0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 ht="30.0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 ht="30.0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 ht="30.0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 ht="30.0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 ht="30.0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 ht="30.0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 ht="30.0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 ht="30.0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 ht="30.0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 ht="30.0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 ht="30.0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 ht="30.0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 ht="30.0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 ht="30.0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 ht="30.0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 ht="30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 ht="30.0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 ht="30.0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 ht="30.0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 ht="30.0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 ht="30.0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 ht="30.0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 ht="30.0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 ht="30.0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 ht="30.0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 ht="30.0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 ht="30.0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 ht="30.0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 ht="30.0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 ht="30.0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 ht="30.0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 ht="30.0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 ht="30.0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 ht="30.0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 ht="30.0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 ht="30.0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 ht="30.0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 ht="30.0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 ht="30.0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 ht="30.0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 ht="30.0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 ht="30.0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 ht="30.0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 ht="30.0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 ht="30.0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 ht="30.0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 ht="30.0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 ht="30.0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 ht="30.0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 ht="30.0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 ht="30.0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 ht="30.0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 ht="30.0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 ht="30.0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 ht="30.0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 ht="30.0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 ht="30.0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 ht="30.0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 ht="30.0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 ht="30.0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 ht="30.0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 ht="30.0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 ht="30.0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 ht="30.0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 ht="30.0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 ht="30.0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 ht="30.0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 ht="30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 ht="30.0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 ht="30.0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 ht="30.0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 ht="30.0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 ht="30.0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 ht="30.0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 ht="30.0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 ht="30.0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 ht="30.0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 ht="30.0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 ht="30.0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 ht="30.0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 ht="30.0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 ht="30.0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 ht="30.0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 ht="30.0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 ht="30.0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 ht="30.0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 ht="30.0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 ht="30.0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 ht="30.0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 ht="30.0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 ht="30.0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 ht="30.0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 ht="30.0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 ht="30.0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 ht="30.0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 ht="30.0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 ht="30.0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 ht="30.0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 ht="30.0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 ht="30.0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 ht="30.0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 ht="30.0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 ht="30.0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 ht="30.0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 ht="30.0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 ht="30.0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 ht="30.0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 ht="30.0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 ht="30.0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 ht="30.0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 ht="30.0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 ht="30.0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 ht="30.0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 ht="30.0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 ht="30.0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 ht="30.0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 ht="30.0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 ht="30.0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 ht="30.0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 ht="30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 ht="30.0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 ht="30.0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 ht="30.0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 ht="30.0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 ht="30.0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 ht="30.0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 ht="30.0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 ht="30.0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 ht="30.0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 ht="30.0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 ht="30.0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 ht="30.0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 ht="30.0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 ht="30.0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 ht="30.0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 ht="30.0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 ht="30.0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 ht="30.0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 ht="30.0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 ht="30.0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 ht="30.0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 ht="30.0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 ht="30.0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 ht="30.0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 ht="30.0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 ht="30.0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 ht="30.0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 ht="30.0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 ht="30.0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 ht="30.0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 ht="30.0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 ht="30.0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 ht="30.0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 ht="30.0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 ht="30.0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 ht="30.0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 ht="30.0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 ht="30.0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 ht="30.0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 ht="30.0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 ht="30.0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 ht="30.0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 ht="30.0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 ht="30.0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 ht="30.0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 ht="30.0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 ht="30.0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 ht="30.0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 ht="30.0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 ht="30.0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 ht="30.0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 ht="30.0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 ht="30.0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 ht="30.0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 ht="30.0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 ht="30.0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 ht="30.0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 ht="30.0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 ht="30.0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 ht="30.0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 ht="30.0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 ht="30.0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 ht="30.0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 ht="30.0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 ht="30.0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 ht="30.0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 ht="30.0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 ht="30.0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 ht="30.0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 ht="30.0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 ht="30.0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 ht="30.0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 ht="30.0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 ht="30.0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 ht="30.0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 ht="30.0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 ht="30.0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 ht="30.0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 ht="30.0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 ht="30.0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 ht="30.0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 ht="30.0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 ht="30.0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 ht="30.0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 ht="30.0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 ht="30.0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 ht="30.0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 ht="30.0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 ht="30.0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 ht="30.0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 ht="30.0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 ht="30.0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 ht="30.0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 ht="30.0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 ht="30.0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 ht="30.0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 ht="30.0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 ht="30.0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 ht="30.0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 ht="30.0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 ht="30.0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 ht="30.0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 ht="30.0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 ht="30.0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 ht="30.0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 ht="30.0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 ht="30.0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 ht="30.0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 ht="30.0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 ht="30.0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 ht="30.0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 ht="30.0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 ht="30.0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 ht="30.0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 ht="30.0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 ht="30.0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 ht="30.0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 ht="30.0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 ht="30.0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 ht="30.0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 ht="30.0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 ht="30.0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 ht="30.0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 ht="30.0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 ht="30.0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 ht="30.0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 ht="30.0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 ht="30.0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 ht="30.0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 ht="30.0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 ht="30.0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 ht="30.0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 ht="30.0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 ht="30.0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 ht="30.0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 ht="30.0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 ht="30.0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 ht="30.0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 ht="30.0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 ht="30.0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 ht="30.0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 ht="30.0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 ht="30.0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 ht="30.0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 ht="30.0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 ht="30.0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 ht="30.0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 ht="30.0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 ht="30.0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 ht="30.0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 ht="30.0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 ht="30.0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 ht="30.0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 ht="30.0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 ht="30.0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 ht="30.0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 ht="30.0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 ht="30.0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 ht="30.0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 ht="30.0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 ht="30.0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 ht="30.0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 ht="30.0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 ht="30.0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 ht="30.0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 ht="30.0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 ht="30.0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 ht="30.0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 ht="30.0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 ht="30.0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 ht="30.0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 ht="30.0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 ht="30.0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 ht="30.0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 ht="30.0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 ht="30.0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 ht="30.0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 ht="30.0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 ht="30.0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 ht="30.0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 ht="30.0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 ht="30.0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 ht="30.0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 ht="30.0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 ht="30.0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 ht="30.0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 ht="30.0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 ht="30.0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 ht="30.0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 ht="30.0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 ht="30.0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 ht="30.0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 ht="30.0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 ht="30.0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 ht="30.0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 ht="30.0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 ht="30.0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 ht="30.0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 ht="30.0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 ht="30.0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 ht="30.0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 ht="30.0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 ht="30.0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 ht="30.0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 ht="30.0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 ht="30.0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 ht="30.0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 ht="30.0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 ht="30.0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 ht="30.0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 ht="30.0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 ht="30.0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 ht="30.0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 ht="30.0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 ht="30.0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 ht="30.0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 ht="30.0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 ht="30.0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 ht="30.0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 ht="30.0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 ht="30.0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 ht="30.0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 ht="30.0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 ht="30.0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 ht="30.0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 ht="30.0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 ht="30.0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 ht="30.0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 ht="30.0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 ht="30.0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 ht="30.0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 ht="30.0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 ht="30.0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 ht="30.0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 ht="30.0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 ht="30.0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 ht="30.0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 ht="30.0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 ht="30.0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 ht="30.0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 ht="30.0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 ht="30.0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 ht="30.0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 ht="30.0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 ht="30.0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 ht="30.0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 ht="30.0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 ht="30.0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 ht="30.0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 ht="30.0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 ht="30.0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 ht="30.0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 ht="30.0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 ht="30.0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 ht="30.0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 ht="30.0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 ht="30.0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 ht="30.0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 ht="30.0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 ht="30.0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 ht="30.0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 ht="30.0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 ht="30.0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 ht="30.0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 ht="30.0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 ht="30.0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 ht="30.0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 ht="30.0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 ht="30.0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 ht="30.0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 ht="30.0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 ht="30.0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 ht="30.0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 ht="30.0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 ht="30.0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 ht="30.0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 ht="30.0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 ht="30.0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 ht="30.0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 ht="30.0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 ht="30.0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 ht="30.0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 ht="30.0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 ht="30.0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 ht="30.0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 ht="30.0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 ht="30.0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 ht="30.0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 ht="30.0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 ht="30.0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 ht="30.0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 ht="30.0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 ht="30.0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 ht="30.0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 ht="30.0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 ht="30.0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 ht="30.0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 ht="30.0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 ht="30.0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 ht="30.0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 ht="30.0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 ht="30.0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 ht="30.0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 ht="30.0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 ht="30.0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 ht="30.0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 ht="30.0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 ht="30.0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 ht="30.0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 ht="30.0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 ht="30.0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 ht="30.0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 ht="30.0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 ht="30.0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 ht="30.0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 ht="30.0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 ht="30.0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 ht="30.0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 ht="30.0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 ht="30.0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 ht="30.0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 ht="30.0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 ht="30.0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 ht="30.0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 ht="30.0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 ht="30.0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 ht="30.0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 ht="30.0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 ht="30.0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 ht="30.0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 ht="30.0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 ht="30.0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 ht="30.0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 ht="30.0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 ht="30.0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 ht="30.0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 ht="30.0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 ht="30.0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 ht="30.0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 ht="30.0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 ht="30.0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 ht="30.0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 ht="30.0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 ht="30.0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 ht="30.0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 ht="30.0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 ht="30.0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 ht="30.0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 ht="30.0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 ht="30.0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 ht="30.0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 ht="30.0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 ht="30.0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 ht="30.0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 ht="30.0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 ht="30.0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 ht="30.0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 ht="30.0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 ht="30.0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 ht="30.0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 ht="30.0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 ht="30.0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 ht="30.0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 ht="30.0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 ht="30.0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 ht="30.0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 ht="30.0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 ht="30.0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 ht="30.0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 ht="30.0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 ht="30.0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 ht="30.0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 ht="30.0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 ht="30.0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 ht="30.0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 ht="30.0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 ht="30.0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 ht="30.0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 ht="30.0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 ht="30.0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 ht="30.0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 ht="30.0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 ht="30.0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 ht="30.0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 ht="30.0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 ht="30.0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 ht="30.0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 ht="30.0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 ht="30.0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 ht="30.0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 ht="30.0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 ht="30.0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 ht="30.0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 ht="30.0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 ht="30.0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 ht="30.0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 ht="30.0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 ht="30.0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 ht="30.0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 ht="30.0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 ht="30.0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 ht="30.0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 ht="30.0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 ht="30.0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 ht="30.0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 ht="30.0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 ht="30.0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 ht="30.0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 ht="30.0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 ht="30.0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 ht="30.0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 ht="30.0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 ht="30.0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 ht="30.0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 ht="30.0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 ht="30.0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 ht="30.0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 ht="30.0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 ht="30.0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 ht="30.0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 ht="30.0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 ht="30.0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 ht="30.0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 ht="30.0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 ht="30.0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 ht="30.0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 ht="30.0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 ht="30.0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 ht="30.0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 ht="30.0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 ht="30.0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 ht="30.0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 ht="30.0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 ht="30.0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 ht="30.0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 ht="30.0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 ht="30.0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 ht="30.0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 ht="30.0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 ht="30.0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 ht="30.0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 ht="30.0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 ht="30.0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 ht="30.0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 ht="30.0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 ht="30.0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 ht="30.0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 ht="30.0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 ht="30.0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 ht="30.0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 ht="30.0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 ht="30.0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 ht="30.0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 ht="30.0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 ht="30.0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 ht="30.0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 ht="30.0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 ht="30.0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 ht="30.0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 ht="30.0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 ht="30.0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  <row r="994" ht="30.0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</row>
    <row r="995" ht="30.0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</row>
    <row r="996" ht="30.0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</row>
    <row r="997" ht="30.0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</row>
    <row r="998" ht="30.0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</row>
    <row r="999" ht="30.0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</row>
    <row r="1000" ht="30.0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</row>
    <row r="1001" ht="30.0" customHeight="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</row>
    <row r="1002" ht="30.0" customHeight="1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</row>
    <row r="1003" ht="30.0" customHeight="1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</row>
    <row r="1004" ht="30.0" customHeight="1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</row>
    <row r="1005" ht="30.0" customHeight="1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</row>
  </sheetData>
  <mergeCells count="36">
    <mergeCell ref="A1:E1"/>
    <mergeCell ref="A2:C2"/>
    <mergeCell ref="D2:E2"/>
    <mergeCell ref="A3:A4"/>
    <mergeCell ref="B3:B4"/>
    <mergeCell ref="D3:D4"/>
    <mergeCell ref="E3:E4"/>
    <mergeCell ref="C3:C4"/>
    <mergeCell ref="A15:C15"/>
    <mergeCell ref="D15:E15"/>
    <mergeCell ref="A16:A17"/>
    <mergeCell ref="B16:B17"/>
    <mergeCell ref="D16:D17"/>
    <mergeCell ref="E16:E17"/>
    <mergeCell ref="C16:C17"/>
    <mergeCell ref="A26:C26"/>
    <mergeCell ref="D26:E26"/>
    <mergeCell ref="A27:A28"/>
    <mergeCell ref="B27:B28"/>
    <mergeCell ref="D27:D28"/>
    <mergeCell ref="E27:E28"/>
    <mergeCell ref="C40:C41"/>
    <mergeCell ref="A52:C52"/>
    <mergeCell ref="D52:E52"/>
    <mergeCell ref="A53:A54"/>
    <mergeCell ref="B53:B54"/>
    <mergeCell ref="C53:C54"/>
    <mergeCell ref="D53:D54"/>
    <mergeCell ref="E53:E54"/>
    <mergeCell ref="C27:C28"/>
    <mergeCell ref="A39:C39"/>
    <mergeCell ref="D39:E39"/>
    <mergeCell ref="A40:A41"/>
    <mergeCell ref="B40:B41"/>
    <mergeCell ref="D40:D41"/>
    <mergeCell ref="E40:E41"/>
  </mergeCells>
  <printOptions/>
  <pageMargins bottom="0.1390430982673091" footer="0.0" header="0.0" left="0.25" right="0.25" top="0.0748693606054741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1.57"/>
    <col customWidth="1" min="2" max="2" width="28.14"/>
    <col customWidth="1" min="3" max="3" width="34.43"/>
    <col customWidth="1" min="4" max="4" width="33.57"/>
    <col customWidth="1" min="5" max="5" width="48.57"/>
    <col customWidth="1" min="6" max="25" width="10.71"/>
  </cols>
  <sheetData>
    <row r="1" ht="30.0" customHeight="1">
      <c r="A1" s="1" t="s">
        <v>3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30.0" customHeight="1">
      <c r="A2" s="7" t="s">
        <v>4</v>
      </c>
      <c r="B2" s="2"/>
      <c r="C2" s="2"/>
      <c r="D2" s="8">
        <f>'1º'!H1</f>
        <v>46293</v>
      </c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30.0" customHeight="1">
      <c r="A3" s="9" t="s">
        <v>5</v>
      </c>
      <c r="B3" s="10" t="s">
        <v>6</v>
      </c>
      <c r="C3" s="10" t="s">
        <v>7</v>
      </c>
      <c r="D3" s="10" t="s">
        <v>8</v>
      </c>
      <c r="E3" s="9" t="s">
        <v>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30.0" customHeight="1">
      <c r="A4" s="11"/>
      <c r="B4" s="11"/>
      <c r="C4" s="11"/>
      <c r="D4" s="11"/>
      <c r="E4" s="11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30.0" customHeight="1">
      <c r="A5" s="12" t="s">
        <v>15</v>
      </c>
      <c r="B5" s="14"/>
      <c r="C5" s="18"/>
      <c r="D5" s="14"/>
      <c r="E5" s="14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ht="30.0" customHeight="1">
      <c r="A6" s="12" t="s">
        <v>15</v>
      </c>
      <c r="B6" s="14"/>
      <c r="C6" s="18"/>
      <c r="D6" s="14"/>
      <c r="E6" s="14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ht="30.0" customHeight="1">
      <c r="A7" s="12" t="s">
        <v>16</v>
      </c>
      <c r="B7" s="14"/>
      <c r="C7" s="14"/>
      <c r="D7" s="14"/>
      <c r="E7" s="14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ht="30.0" customHeight="1">
      <c r="A8" s="12" t="s">
        <v>16</v>
      </c>
      <c r="B8" s="14"/>
      <c r="C8" s="14"/>
      <c r="D8" s="14"/>
      <c r="E8" s="14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ht="30.0" customHeight="1">
      <c r="A9" s="12" t="s">
        <v>13</v>
      </c>
      <c r="B9" s="14"/>
      <c r="C9" s="14"/>
      <c r="D9" s="14"/>
      <c r="E9" s="14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ht="30.0" customHeight="1">
      <c r="A10" s="12" t="s">
        <v>13</v>
      </c>
      <c r="B10" s="14"/>
      <c r="C10" s="14"/>
      <c r="D10" s="14"/>
      <c r="E10" s="14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ht="30.0" customHeight="1">
      <c r="A11" s="12" t="s">
        <v>11</v>
      </c>
      <c r="B11" s="12"/>
      <c r="C11" s="14"/>
      <c r="D11" s="14"/>
      <c r="E11" s="14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ht="30.0" customHeight="1">
      <c r="A12" s="12" t="s">
        <v>11</v>
      </c>
      <c r="B12" s="12"/>
      <c r="C12" s="14"/>
      <c r="D12" s="14"/>
      <c r="E12" s="14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ht="30.0" customHeight="1">
      <c r="A13" s="12" t="s">
        <v>17</v>
      </c>
      <c r="B13" s="14"/>
      <c r="C13" s="14"/>
      <c r="D13" s="14"/>
      <c r="E13" s="14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ht="30.0" customHeight="1">
      <c r="A14" s="12" t="s">
        <v>17</v>
      </c>
      <c r="B14" s="14"/>
      <c r="C14" s="14"/>
      <c r="D14" s="14"/>
      <c r="E14" s="14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ht="30.0" customHeight="1">
      <c r="A15" s="7" t="s">
        <v>21</v>
      </c>
      <c r="B15" s="2"/>
      <c r="C15" s="2"/>
      <c r="D15" s="8">
        <f>'1º'!H2</f>
        <v>46294</v>
      </c>
      <c r="E15" s="3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ht="30.0" customHeight="1">
      <c r="A16" s="9" t="s">
        <v>5</v>
      </c>
      <c r="B16" s="10" t="s">
        <v>6</v>
      </c>
      <c r="C16" s="10" t="s">
        <v>7</v>
      </c>
      <c r="D16" s="10" t="s">
        <v>8</v>
      </c>
      <c r="E16" s="9" t="s">
        <v>9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ht="30.0" customHeight="1">
      <c r="A17" s="11"/>
      <c r="B17" s="11"/>
      <c r="C17" s="11"/>
      <c r="D17" s="11"/>
      <c r="E17" s="11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ht="30.0" customHeight="1">
      <c r="A18" s="12" t="s">
        <v>15</v>
      </c>
      <c r="B18" s="13"/>
      <c r="C18" s="18"/>
      <c r="D18" s="13"/>
      <c r="E18" s="14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ht="30.0" customHeight="1">
      <c r="A19" s="12" t="s">
        <v>15</v>
      </c>
      <c r="B19" s="13"/>
      <c r="C19" s="16"/>
      <c r="D19" s="13"/>
      <c r="E19" s="14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ht="30.0" customHeight="1">
      <c r="A20" s="12" t="s">
        <v>34</v>
      </c>
      <c r="B20" s="13"/>
      <c r="C20" s="13"/>
      <c r="D20" s="13"/>
      <c r="E20" s="14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ht="30.0" customHeight="1">
      <c r="A21" s="12" t="s">
        <v>16</v>
      </c>
      <c r="B21" s="13"/>
      <c r="C21" s="13"/>
      <c r="D21" s="13"/>
      <c r="E21" s="14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ht="30.0" customHeight="1">
      <c r="A22" s="12" t="s">
        <v>19</v>
      </c>
      <c r="B22" s="13"/>
      <c r="C22" s="13"/>
      <c r="D22" s="13"/>
      <c r="E22" s="14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ht="30.0" customHeight="1">
      <c r="A23" s="12" t="s">
        <v>19</v>
      </c>
      <c r="B23" s="13"/>
      <c r="C23" s="13"/>
      <c r="D23" s="13"/>
      <c r="E23" s="14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ht="30.0" customHeight="1">
      <c r="A24" s="19" t="s">
        <v>26</v>
      </c>
      <c r="B24" s="13"/>
      <c r="C24" s="13"/>
      <c r="D24" s="13"/>
      <c r="E24" s="14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ht="30.0" customHeight="1">
      <c r="A25" s="19" t="s">
        <v>26</v>
      </c>
      <c r="B25" s="13"/>
      <c r="C25" s="13"/>
      <c r="D25" s="13"/>
      <c r="E25" s="14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ht="30.0" customHeight="1">
      <c r="A26" s="7" t="s">
        <v>27</v>
      </c>
      <c r="B26" s="2"/>
      <c r="C26" s="2"/>
      <c r="D26" s="8">
        <f>'1º'!H3</f>
        <v>46295</v>
      </c>
      <c r="E26" s="3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ht="30.0" customHeight="1">
      <c r="A27" s="9" t="s">
        <v>5</v>
      </c>
      <c r="B27" s="10" t="s">
        <v>6</v>
      </c>
      <c r="C27" s="10" t="s">
        <v>7</v>
      </c>
      <c r="D27" s="10" t="s">
        <v>8</v>
      </c>
      <c r="E27" s="9" t="s">
        <v>9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ht="30.0" customHeight="1">
      <c r="A28" s="11"/>
      <c r="B28" s="11"/>
      <c r="C28" s="11"/>
      <c r="D28" s="11"/>
      <c r="E28" s="11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ht="30.0" customHeight="1">
      <c r="A29" s="12" t="s">
        <v>23</v>
      </c>
      <c r="B29" s="13"/>
      <c r="C29" s="18"/>
      <c r="D29" s="13"/>
      <c r="E29" s="14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ht="30.0" customHeight="1">
      <c r="A30" s="12" t="s">
        <v>23</v>
      </c>
      <c r="B30" s="13"/>
      <c r="C30" s="16"/>
      <c r="D30" s="13"/>
      <c r="E30" s="14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ht="30.0" customHeight="1">
      <c r="A31" s="12" t="s">
        <v>18</v>
      </c>
      <c r="B31" s="13"/>
      <c r="C31" s="13"/>
      <c r="D31" s="13"/>
      <c r="E31" s="14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ht="30.0" customHeight="1">
      <c r="A32" s="12" t="s">
        <v>18</v>
      </c>
      <c r="B32" s="13"/>
      <c r="C32" s="13"/>
      <c r="D32" s="13"/>
      <c r="E32" s="14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ht="30.0" customHeight="1">
      <c r="A33" s="12" t="s">
        <v>31</v>
      </c>
      <c r="B33" s="13"/>
      <c r="C33" s="13"/>
      <c r="D33" s="13"/>
      <c r="E33" s="14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ht="30.0" customHeight="1">
      <c r="A34" s="12" t="s">
        <v>31</v>
      </c>
      <c r="B34" s="13"/>
      <c r="C34" s="13"/>
      <c r="D34" s="13"/>
      <c r="E34" s="14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ht="30.0" customHeight="1">
      <c r="A35" s="12" t="s">
        <v>37</v>
      </c>
      <c r="B35" s="13"/>
      <c r="C35" s="13"/>
      <c r="D35" s="13"/>
      <c r="E35" s="14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ht="30.0" customHeight="1">
      <c r="A36" s="12" t="s">
        <v>19</v>
      </c>
      <c r="B36" s="13"/>
      <c r="C36" s="13"/>
      <c r="D36" s="13"/>
      <c r="E36" s="14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ht="30.0" customHeight="1">
      <c r="A37" s="12" t="s">
        <v>20</v>
      </c>
      <c r="B37" s="13"/>
      <c r="C37" s="13"/>
      <c r="D37" s="13"/>
      <c r="E37" s="14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ht="30.0" customHeight="1">
      <c r="A38" s="12" t="s">
        <v>20</v>
      </c>
      <c r="B38" s="13"/>
      <c r="C38" s="13"/>
      <c r="D38" s="13"/>
      <c r="E38" s="14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ht="30.0" customHeight="1">
      <c r="A39" s="7" t="s">
        <v>38</v>
      </c>
      <c r="B39" s="2"/>
      <c r="C39" s="2"/>
      <c r="D39" s="8">
        <f>'1º'!H4</f>
        <v>46296</v>
      </c>
      <c r="E39" s="3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ht="30.0" customHeight="1">
      <c r="A40" s="9" t="s">
        <v>5</v>
      </c>
      <c r="B40" s="10" t="s">
        <v>6</v>
      </c>
      <c r="C40" s="10" t="s">
        <v>7</v>
      </c>
      <c r="D40" s="10" t="s">
        <v>8</v>
      </c>
      <c r="E40" s="9" t="s">
        <v>9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ht="30.0" customHeight="1">
      <c r="A41" s="11"/>
      <c r="B41" s="11"/>
      <c r="C41" s="11"/>
      <c r="D41" s="11"/>
      <c r="E41" s="11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ht="30.0" customHeight="1">
      <c r="A42" s="12" t="s">
        <v>23</v>
      </c>
      <c r="B42" s="13"/>
      <c r="C42" s="18"/>
      <c r="D42" s="13"/>
      <c r="E42" s="14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ht="30.0" customHeight="1">
      <c r="A43" s="12" t="s">
        <v>23</v>
      </c>
      <c r="B43" s="13"/>
      <c r="C43" s="16"/>
      <c r="D43" s="13"/>
      <c r="E43" s="14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ht="30.0" customHeight="1">
      <c r="A44" s="12" t="s">
        <v>15</v>
      </c>
      <c r="B44" s="13"/>
      <c r="C44" s="13"/>
      <c r="D44" s="13"/>
      <c r="E44" s="14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ht="30.0" customHeight="1">
      <c r="A45" s="12" t="s">
        <v>15</v>
      </c>
      <c r="B45" s="13"/>
      <c r="C45" s="13"/>
      <c r="D45" s="13"/>
      <c r="E45" s="14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ht="30.0" customHeight="1">
      <c r="A46" s="12" t="s">
        <v>44</v>
      </c>
      <c r="B46" s="13"/>
      <c r="C46" s="13"/>
      <c r="D46" s="13"/>
      <c r="E46" s="14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ht="30.0" customHeight="1">
      <c r="A47" s="12" t="s">
        <v>44</v>
      </c>
      <c r="B47" s="13"/>
      <c r="C47" s="13"/>
      <c r="D47" s="13"/>
      <c r="E47" s="14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ht="30.0" customHeight="1">
      <c r="A48" s="12" t="s">
        <v>18</v>
      </c>
      <c r="B48" s="13"/>
      <c r="C48" s="13"/>
      <c r="D48" s="13"/>
      <c r="E48" s="14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ht="30.0" customHeight="1">
      <c r="A49" s="12" t="s">
        <v>33</v>
      </c>
      <c r="B49" s="13"/>
      <c r="C49" s="13"/>
      <c r="D49" s="13"/>
      <c r="E49" s="14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ht="30.0" customHeight="1">
      <c r="A50" s="19" t="s">
        <v>26</v>
      </c>
      <c r="B50" s="13"/>
      <c r="C50" s="13"/>
      <c r="D50" s="13"/>
      <c r="E50" s="14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ht="30.0" customHeight="1">
      <c r="A51" s="19" t="s">
        <v>26</v>
      </c>
      <c r="B51" s="13"/>
      <c r="C51" s="13"/>
      <c r="D51" s="13"/>
      <c r="E51" s="14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 ht="30.0" customHeight="1">
      <c r="A52" s="7" t="s">
        <v>42</v>
      </c>
      <c r="B52" s="2"/>
      <c r="C52" s="2"/>
      <c r="D52" s="8">
        <f>'1º'!H5</f>
        <v>46297</v>
      </c>
      <c r="E52" s="3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ht="30.0" customHeight="1">
      <c r="A53" s="9" t="s">
        <v>5</v>
      </c>
      <c r="B53" s="10" t="s">
        <v>6</v>
      </c>
      <c r="C53" s="10" t="s">
        <v>7</v>
      </c>
      <c r="D53" s="10" t="s">
        <v>8</v>
      </c>
      <c r="E53" s="9" t="s">
        <v>9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 ht="30.0" customHeight="1">
      <c r="A54" s="11"/>
      <c r="B54" s="11"/>
      <c r="C54" s="11"/>
      <c r="D54" s="11"/>
      <c r="E54" s="11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ht="30.0" customHeight="1">
      <c r="A55" s="12" t="s">
        <v>47</v>
      </c>
      <c r="B55" s="13"/>
      <c r="C55" s="18"/>
      <c r="D55" s="13"/>
      <c r="E55" s="14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ht="30.0" customHeight="1">
      <c r="A56" s="12" t="s">
        <v>47</v>
      </c>
      <c r="B56" s="13"/>
      <c r="C56" s="16"/>
      <c r="D56" s="13"/>
      <c r="E56" s="14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ht="30.0" customHeight="1">
      <c r="A57" s="12" t="s">
        <v>33</v>
      </c>
      <c r="B57" s="13"/>
      <c r="C57" s="13"/>
      <c r="D57" s="13"/>
      <c r="E57" s="14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ht="30.0" customHeight="1">
      <c r="A58" s="12" t="s">
        <v>33</v>
      </c>
      <c r="B58" s="13"/>
      <c r="C58" s="13"/>
      <c r="D58" s="13"/>
      <c r="E58" s="14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ht="30.0" customHeight="1">
      <c r="A59" s="12" t="s">
        <v>16</v>
      </c>
      <c r="B59" s="13"/>
      <c r="C59" s="13"/>
      <c r="D59" s="13"/>
      <c r="E59" s="14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ht="30.0" customHeight="1">
      <c r="A60" s="12" t="s">
        <v>16</v>
      </c>
      <c r="B60" s="13"/>
      <c r="C60" s="13"/>
      <c r="D60" s="13"/>
      <c r="E60" s="14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ht="30.0" customHeight="1">
      <c r="A61" s="12" t="s">
        <v>37</v>
      </c>
      <c r="B61" s="12"/>
      <c r="C61" s="13"/>
      <c r="D61" s="13"/>
      <c r="E61" s="14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ht="30.0" customHeight="1">
      <c r="A62" s="12" t="s">
        <v>37</v>
      </c>
      <c r="B62" s="12"/>
      <c r="C62" s="13"/>
      <c r="D62" s="13"/>
      <c r="E62" s="14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ht="30.0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ht="30.0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ht="30.0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ht="30.0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ht="30.0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ht="30.0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ht="30.0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ht="30.0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 ht="30.0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 ht="30.0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ht="30.0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 ht="30.0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ht="30.0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ht="30.0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ht="30.0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ht="30.0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ht="30.0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ht="30.0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ht="30.0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ht="30.0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ht="30.0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ht="30.0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ht="30.0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ht="30.0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ht="30.0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ht="30.0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ht="30.0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ht="30.0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ht="30.0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ht="30.0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ht="30.0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ht="30.0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ht="30.0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ht="30.0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ht="30.0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ht="30.0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ht="30.0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ht="30.0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ht="30.0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ht="30.0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ht="30.0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ht="30.0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ht="30.0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ht="30.0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ht="30.0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ht="30.0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ht="30.0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ht="30.0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ht="30.0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ht="30.0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ht="30.0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ht="30.0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ht="30.0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ht="30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ht="30.0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ht="30.0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ht="30.0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ht="30.0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ht="30.0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 ht="30.0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ht="30.0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ht="30.0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ht="30.0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ht="30.0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ht="30.0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ht="30.0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ht="30.0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ht="30.0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ht="30.0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ht="30.0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ht="30.0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ht="30.0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ht="30.0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ht="30.0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ht="30.0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ht="30.0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ht="30.0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ht="30.0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ht="30.0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ht="30.0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ht="30.0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ht="30.0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ht="30.0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ht="30.0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ht="30.0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ht="30.0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ht="30.0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ht="30.0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ht="30.0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ht="30.0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ht="30.0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ht="30.0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ht="30.0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ht="30.0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ht="30.0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ht="30.0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ht="30.0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ht="30.0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ht="30.0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ht="30.0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ht="30.0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ht="30.0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ht="30.0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ht="30.0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ht="30.0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ht="30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ht="30.0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ht="30.0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ht="30.0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ht="30.0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ht="30.0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ht="30.0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ht="30.0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ht="30.0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 ht="30.0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ht="30.0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ht="30.0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ht="30.0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ht="30.0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 ht="30.0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ht="30.0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ht="30.0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 ht="30.0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 ht="30.0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ht="30.0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 ht="30.0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ht="30.0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ht="30.0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 ht="30.0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ht="30.0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 ht="30.0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ht="30.0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ht="30.0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 ht="30.0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 ht="30.0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 ht="30.0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 ht="30.0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ht="30.0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 ht="30.0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 ht="30.0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 ht="30.0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 ht="30.0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 ht="30.0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 ht="30.0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 ht="30.0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 ht="30.0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 ht="30.0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 ht="30.0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 ht="30.0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 ht="30.0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 ht="30.0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 ht="30.0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 ht="30.0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 ht="30.0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 ht="30.0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 ht="30.0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 ht="30.0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 ht="30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 ht="30.0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 ht="30.0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 ht="30.0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 ht="30.0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 ht="30.0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 ht="30.0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 ht="30.0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 ht="30.0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 ht="30.0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 ht="30.0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 ht="30.0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 ht="30.0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 ht="30.0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 ht="30.0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 ht="30.0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 ht="30.0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 ht="30.0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 ht="30.0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 ht="30.0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 ht="30.0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 ht="30.0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 ht="30.0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 ht="30.0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 ht="30.0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 ht="30.0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 ht="30.0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 ht="30.0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 ht="30.0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 ht="30.0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 ht="30.0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 ht="30.0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 ht="30.0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 ht="30.0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 ht="30.0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 ht="30.0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 ht="30.0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 ht="30.0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 ht="30.0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 ht="30.0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 ht="30.0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 ht="30.0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 ht="30.0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 ht="30.0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 ht="30.0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 ht="30.0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 ht="30.0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 ht="30.0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 ht="30.0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 ht="30.0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 ht="30.0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 ht="30.0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 ht="30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 ht="30.0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 ht="30.0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 ht="30.0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 ht="30.0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 ht="30.0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 ht="30.0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 ht="30.0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 ht="30.0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 ht="30.0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 ht="30.0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 ht="30.0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 ht="30.0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 ht="30.0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 ht="30.0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 ht="30.0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 ht="30.0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 ht="30.0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 ht="30.0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 ht="30.0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 ht="30.0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 ht="30.0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 ht="30.0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 ht="30.0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 ht="30.0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 ht="30.0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 ht="30.0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 ht="30.0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 ht="30.0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 ht="30.0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 ht="30.0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 ht="30.0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 ht="30.0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 ht="30.0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 ht="30.0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 ht="30.0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 ht="30.0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 ht="30.0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 ht="30.0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 ht="30.0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 ht="30.0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 ht="30.0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 ht="30.0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 ht="30.0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 ht="30.0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 ht="30.0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 ht="30.0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 ht="30.0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 ht="30.0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 ht="30.0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 ht="30.0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 ht="30.0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 ht="30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 ht="30.0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 ht="30.0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 ht="30.0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 ht="30.0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 ht="30.0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 ht="30.0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 ht="30.0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 ht="30.0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 ht="30.0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 ht="30.0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 ht="30.0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 ht="30.0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 ht="30.0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 ht="30.0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 ht="30.0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 ht="30.0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 ht="30.0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 ht="30.0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 ht="30.0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 ht="30.0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 ht="30.0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 ht="30.0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 ht="30.0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 ht="30.0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 ht="30.0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 ht="30.0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 ht="30.0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 ht="30.0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 ht="30.0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 ht="30.0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 ht="30.0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 ht="30.0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 ht="30.0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 ht="30.0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 ht="30.0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 ht="30.0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 ht="30.0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 ht="30.0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 ht="30.0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 ht="30.0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 ht="30.0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 ht="30.0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 ht="30.0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 ht="30.0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 ht="30.0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 ht="30.0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 ht="30.0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 ht="30.0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 ht="30.0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 ht="30.0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 ht="30.0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 ht="30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 ht="30.0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 ht="30.0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 ht="30.0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 ht="30.0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 ht="30.0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 ht="30.0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 ht="30.0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 ht="30.0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 ht="30.0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 ht="30.0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 ht="30.0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 ht="30.0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 ht="30.0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 ht="30.0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 ht="30.0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 ht="30.0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 ht="30.0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 ht="30.0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 ht="30.0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 ht="30.0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 ht="30.0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 ht="30.0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 ht="30.0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 ht="30.0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 ht="30.0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 ht="30.0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 ht="30.0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 ht="30.0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 ht="30.0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 ht="30.0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 ht="30.0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 ht="30.0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 ht="30.0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 ht="30.0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 ht="30.0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 ht="30.0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 ht="30.0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 ht="30.0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 ht="30.0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 ht="30.0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 ht="30.0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 ht="30.0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 ht="30.0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 ht="30.0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 ht="30.0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 ht="30.0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 ht="30.0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 ht="30.0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 ht="30.0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 ht="30.0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 ht="30.0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 ht="30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 ht="30.0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 ht="30.0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 ht="30.0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 ht="30.0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 ht="30.0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 ht="30.0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 ht="30.0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 ht="30.0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 ht="30.0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 ht="30.0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 ht="30.0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 ht="30.0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 ht="30.0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 ht="30.0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 ht="30.0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 ht="30.0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 ht="30.0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 ht="30.0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 ht="30.0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 ht="30.0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 ht="30.0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 ht="30.0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 ht="30.0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 ht="30.0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 ht="30.0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 ht="30.0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 ht="30.0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 ht="30.0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 ht="30.0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 ht="30.0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 ht="30.0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 ht="30.0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 ht="30.0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 ht="30.0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 ht="30.0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 ht="30.0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 ht="30.0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 ht="30.0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 ht="30.0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 ht="30.0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 ht="30.0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 ht="30.0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 ht="30.0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 ht="30.0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 ht="30.0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 ht="30.0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 ht="30.0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 ht="30.0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 ht="30.0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 ht="30.0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 ht="30.0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 ht="30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 ht="30.0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 ht="30.0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 ht="30.0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 ht="30.0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 ht="30.0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 ht="30.0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 ht="30.0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 ht="30.0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 ht="30.0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 ht="30.0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 ht="30.0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 ht="30.0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 ht="30.0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 ht="30.0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 ht="30.0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 ht="30.0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 ht="30.0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 ht="30.0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 ht="30.0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 ht="30.0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 ht="30.0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 ht="30.0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 ht="30.0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 ht="30.0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 ht="30.0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 ht="30.0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 ht="30.0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 ht="30.0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 ht="30.0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 ht="30.0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 ht="30.0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 ht="30.0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 ht="30.0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 ht="30.0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 ht="30.0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 ht="30.0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 ht="30.0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 ht="30.0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 ht="30.0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 ht="30.0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 ht="30.0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 ht="30.0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 ht="30.0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 ht="30.0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 ht="30.0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 ht="30.0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 ht="30.0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 ht="30.0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 ht="30.0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 ht="30.0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 ht="30.0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 ht="30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 ht="30.0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 ht="30.0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 ht="30.0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 ht="30.0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 ht="30.0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 ht="30.0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 ht="30.0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 ht="30.0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 ht="30.0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 ht="30.0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 ht="30.0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 ht="30.0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 ht="30.0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 ht="30.0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 ht="30.0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 ht="30.0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 ht="30.0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 ht="30.0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 ht="30.0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 ht="30.0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 ht="30.0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 ht="30.0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 ht="30.0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 ht="30.0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 ht="30.0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 ht="30.0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 ht="30.0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 ht="30.0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 ht="30.0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 ht="30.0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 ht="30.0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 ht="30.0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 ht="30.0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 ht="30.0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 ht="30.0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 ht="30.0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 ht="30.0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 ht="30.0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 ht="30.0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 ht="30.0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 ht="30.0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 ht="30.0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 ht="30.0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 ht="30.0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 ht="30.0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 ht="30.0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 ht="30.0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 ht="30.0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 ht="30.0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 ht="30.0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 ht="30.0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 ht="30.0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 ht="30.0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 ht="30.0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 ht="30.0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 ht="30.0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 ht="30.0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 ht="30.0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 ht="30.0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 ht="30.0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 ht="30.0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 ht="30.0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 ht="30.0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 ht="30.0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 ht="30.0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 ht="30.0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 ht="30.0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 ht="30.0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 ht="30.0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 ht="30.0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 ht="30.0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 ht="30.0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 ht="30.0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 ht="30.0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 ht="30.0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 ht="30.0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 ht="30.0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 ht="30.0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 ht="30.0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 ht="30.0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 ht="30.0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 ht="30.0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 ht="30.0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 ht="30.0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 ht="30.0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 ht="30.0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 ht="30.0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 ht="30.0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 ht="30.0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 ht="30.0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 ht="30.0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 ht="30.0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 ht="30.0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 ht="30.0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 ht="30.0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 ht="30.0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 ht="30.0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 ht="30.0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 ht="30.0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 ht="30.0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 ht="30.0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 ht="30.0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 ht="30.0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 ht="30.0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 ht="30.0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 ht="30.0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 ht="30.0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 ht="30.0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 ht="30.0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 ht="30.0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 ht="30.0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 ht="30.0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 ht="30.0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 ht="30.0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 ht="30.0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 ht="30.0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 ht="30.0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 ht="30.0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 ht="30.0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 ht="30.0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 ht="30.0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 ht="30.0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 ht="30.0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 ht="30.0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 ht="30.0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 ht="30.0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 ht="30.0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 ht="30.0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 ht="30.0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 ht="30.0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 ht="30.0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 ht="30.0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 ht="30.0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 ht="30.0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 ht="30.0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 ht="30.0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 ht="30.0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 ht="30.0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 ht="30.0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 ht="30.0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 ht="30.0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 ht="30.0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 ht="30.0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 ht="30.0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 ht="30.0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 ht="30.0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 ht="30.0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 ht="30.0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 ht="30.0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 ht="30.0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 ht="30.0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 ht="30.0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 ht="30.0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 ht="30.0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 ht="30.0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 ht="30.0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 ht="30.0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 ht="30.0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 ht="30.0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 ht="30.0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 ht="30.0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 ht="30.0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 ht="30.0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 ht="30.0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 ht="30.0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 ht="30.0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 ht="30.0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 ht="30.0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 ht="30.0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 ht="30.0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 ht="30.0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 ht="30.0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 ht="30.0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 ht="30.0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 ht="30.0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 ht="30.0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 ht="30.0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 ht="30.0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 ht="30.0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 ht="30.0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 ht="30.0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 ht="30.0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 ht="30.0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 ht="30.0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 ht="30.0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 ht="30.0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 ht="30.0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 ht="30.0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 ht="30.0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 ht="30.0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 ht="30.0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 ht="30.0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 ht="30.0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 ht="30.0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 ht="30.0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 ht="30.0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 ht="30.0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 ht="30.0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 ht="30.0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 ht="30.0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 ht="30.0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 ht="30.0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 ht="30.0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 ht="30.0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 ht="30.0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 ht="30.0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 ht="30.0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 ht="30.0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 ht="30.0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 ht="30.0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 ht="30.0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 ht="30.0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 ht="30.0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 ht="30.0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 ht="30.0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 ht="30.0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 ht="30.0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 ht="30.0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 ht="30.0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 ht="30.0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 ht="30.0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 ht="30.0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 ht="30.0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 ht="30.0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 ht="30.0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 ht="30.0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 ht="30.0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 ht="30.0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 ht="30.0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 ht="30.0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 ht="30.0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 ht="30.0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 ht="30.0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 ht="30.0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 ht="30.0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 ht="30.0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 ht="30.0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 ht="30.0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 ht="30.0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 ht="30.0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 ht="30.0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 ht="30.0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 ht="30.0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 ht="30.0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 ht="30.0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 ht="30.0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 ht="30.0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 ht="30.0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 ht="30.0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 ht="30.0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 ht="30.0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 ht="30.0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 ht="30.0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 ht="30.0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 ht="30.0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 ht="30.0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 ht="30.0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 ht="30.0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 ht="30.0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 ht="30.0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 ht="30.0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 ht="30.0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 ht="30.0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 ht="30.0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 ht="30.0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 ht="30.0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 ht="30.0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 ht="30.0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 ht="30.0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 ht="30.0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 ht="30.0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 ht="30.0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 ht="30.0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 ht="30.0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 ht="30.0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 ht="30.0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 ht="30.0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 ht="30.0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 ht="30.0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 ht="30.0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 ht="30.0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 ht="30.0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 ht="30.0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 ht="30.0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 ht="30.0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 ht="30.0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 ht="30.0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 ht="30.0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 ht="30.0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 ht="30.0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 ht="30.0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 ht="30.0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 ht="30.0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 ht="30.0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 ht="30.0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 ht="30.0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 ht="30.0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 ht="30.0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 ht="30.0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 ht="30.0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 ht="30.0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 ht="30.0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 ht="30.0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 ht="30.0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 ht="30.0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 ht="30.0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 ht="30.0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 ht="30.0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 ht="30.0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 ht="30.0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 ht="30.0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 ht="30.0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 ht="30.0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 ht="30.0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 ht="30.0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 ht="30.0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 ht="30.0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 ht="30.0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 ht="30.0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 ht="30.0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 ht="30.0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 ht="30.0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 ht="30.0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 ht="30.0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 ht="30.0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 ht="30.0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 ht="30.0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 ht="30.0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 ht="30.0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 ht="30.0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 ht="30.0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 ht="30.0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 ht="30.0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 ht="30.0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 ht="30.0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 ht="30.0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 ht="30.0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 ht="30.0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 ht="30.0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 ht="30.0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 ht="30.0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 ht="30.0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 ht="30.0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 ht="30.0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 ht="30.0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 ht="30.0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 ht="30.0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 ht="30.0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 ht="30.0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 ht="30.0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 ht="30.0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 ht="30.0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 ht="30.0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 ht="30.0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 ht="30.0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 ht="30.0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 ht="30.0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 ht="30.0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 ht="30.0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 ht="30.0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 ht="30.0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 ht="30.0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 ht="30.0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 ht="30.0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 ht="30.0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 ht="30.0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 ht="30.0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 ht="30.0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 ht="30.0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 ht="30.0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 ht="30.0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 ht="30.0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 ht="30.0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 ht="30.0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 ht="30.0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 ht="30.0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 ht="30.0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 ht="30.0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 ht="30.0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 ht="30.0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 ht="30.0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 ht="30.0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 ht="30.0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 ht="30.0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 ht="30.0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 ht="30.0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 ht="30.0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 ht="30.0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 ht="30.0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 ht="30.0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 ht="30.0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 ht="30.0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 ht="30.0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 ht="30.0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 ht="30.0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 ht="30.0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 ht="30.0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 ht="30.0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 ht="30.0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 ht="30.0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 ht="30.0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 ht="30.0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 ht="30.0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 ht="30.0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 ht="30.0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 ht="30.0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 ht="30.0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 ht="30.0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 ht="30.0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 ht="30.0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 ht="30.0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 ht="30.0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 ht="30.0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 ht="30.0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 ht="30.0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 ht="30.0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 ht="30.0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 ht="30.0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 ht="30.0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 ht="30.0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 ht="30.0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 ht="30.0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 ht="30.0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 ht="30.0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 ht="30.0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 ht="30.0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 ht="30.0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 ht="30.0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 ht="30.0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 ht="30.0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 ht="30.0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 ht="30.0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 ht="30.0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 ht="30.0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 ht="30.0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 ht="30.0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 ht="30.0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 ht="30.0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 ht="30.0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 ht="30.0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 ht="30.0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 ht="30.0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 ht="30.0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 ht="30.0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 ht="30.0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 ht="30.0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 ht="30.0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 ht="30.0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 ht="30.0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 ht="30.0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 ht="30.0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 ht="30.0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 ht="30.0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 ht="30.0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 ht="30.0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 ht="30.0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 ht="30.0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 ht="30.0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 ht="30.0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 ht="30.0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 ht="30.0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  <row r="994" ht="30.0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</row>
    <row r="995" ht="30.0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</row>
    <row r="996" ht="30.0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</row>
    <row r="997" ht="30.0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</row>
    <row r="998" ht="30.0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</row>
    <row r="999" ht="30.0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</row>
    <row r="1000" ht="30.0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</row>
    <row r="1001" ht="30.0" customHeight="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</row>
    <row r="1002" ht="30.0" customHeight="1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</row>
    <row r="1003" ht="30.0" customHeight="1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</row>
    <row r="1004" ht="30.0" customHeight="1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</row>
    <row r="1005" ht="30.0" customHeight="1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</row>
    <row r="1006" ht="30.0" customHeight="1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</row>
    <row r="1007" ht="30.0" customHeight="1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</row>
    <row r="1008" ht="30.0" customHeight="1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</row>
    <row r="1009" ht="30.0" customHeight="1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</row>
  </sheetData>
  <mergeCells count="36">
    <mergeCell ref="A1:E1"/>
    <mergeCell ref="A2:C2"/>
    <mergeCell ref="D2:E2"/>
    <mergeCell ref="A3:A4"/>
    <mergeCell ref="B3:B4"/>
    <mergeCell ref="D3:D4"/>
    <mergeCell ref="E3:E4"/>
    <mergeCell ref="C3:C4"/>
    <mergeCell ref="A15:C15"/>
    <mergeCell ref="D15:E15"/>
    <mergeCell ref="A16:A17"/>
    <mergeCell ref="B16:B17"/>
    <mergeCell ref="D16:D17"/>
    <mergeCell ref="E16:E17"/>
    <mergeCell ref="C16:C17"/>
    <mergeCell ref="A26:C26"/>
    <mergeCell ref="D26:E26"/>
    <mergeCell ref="A27:A28"/>
    <mergeCell ref="B27:B28"/>
    <mergeCell ref="D27:D28"/>
    <mergeCell ref="E27:E28"/>
    <mergeCell ref="C40:C41"/>
    <mergeCell ref="A52:C52"/>
    <mergeCell ref="D52:E52"/>
    <mergeCell ref="A53:A54"/>
    <mergeCell ref="B53:B54"/>
    <mergeCell ref="C53:C54"/>
    <mergeCell ref="D53:D54"/>
    <mergeCell ref="E53:E54"/>
    <mergeCell ref="C27:C28"/>
    <mergeCell ref="A39:C39"/>
    <mergeCell ref="D39:E39"/>
    <mergeCell ref="A40:A41"/>
    <mergeCell ref="B40:B41"/>
    <mergeCell ref="D40:D41"/>
    <mergeCell ref="E40:E41"/>
  </mergeCells>
  <printOptions/>
  <pageMargins bottom="0.12138572401125229" footer="0.0" header="0.0" left="0.22928414535458766" right="0.0674365133395846" top="0.18509813139029266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23.86"/>
    <col customWidth="1" min="3" max="3" width="37.43"/>
    <col customWidth="1" min="4" max="4" width="33.86"/>
    <col customWidth="1" min="5" max="5" width="31.71"/>
    <col customWidth="1" min="6" max="25" width="10.71"/>
  </cols>
  <sheetData>
    <row r="1" ht="30.0" customHeight="1">
      <c r="A1" s="1" t="s">
        <v>2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30.0" customHeight="1">
      <c r="A2" s="6" t="s">
        <v>4</v>
      </c>
      <c r="B2" s="2"/>
      <c r="C2" s="2"/>
      <c r="D2" s="8">
        <f>'1º'!H1</f>
        <v>46293</v>
      </c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30.0" customHeight="1">
      <c r="A3" s="9" t="s">
        <v>5</v>
      </c>
      <c r="B3" s="10" t="s">
        <v>6</v>
      </c>
      <c r="C3" s="10" t="s">
        <v>7</v>
      </c>
      <c r="D3" s="10" t="s">
        <v>8</v>
      </c>
      <c r="E3" s="9" t="s">
        <v>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30.0" customHeight="1">
      <c r="A4" s="11"/>
      <c r="B4" s="11"/>
      <c r="C4" s="11"/>
      <c r="D4" s="11"/>
      <c r="E4" s="11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30.0" customHeight="1">
      <c r="A5" s="12" t="s">
        <v>10</v>
      </c>
      <c r="B5" s="13"/>
      <c r="C5" s="15"/>
      <c r="D5" s="13"/>
      <c r="E5" s="13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ht="30.0" customHeight="1">
      <c r="A6" s="12" t="s">
        <v>10</v>
      </c>
      <c r="B6" s="12"/>
      <c r="C6" s="13"/>
      <c r="D6" s="13"/>
      <c r="E6" s="13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ht="30.0" customHeight="1">
      <c r="A7" s="12" t="s">
        <v>13</v>
      </c>
      <c r="B7" s="12"/>
      <c r="C7" s="13"/>
      <c r="D7" s="13"/>
      <c r="E7" s="13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ht="30.0" customHeight="1">
      <c r="A8" s="12" t="s">
        <v>13</v>
      </c>
      <c r="B8" s="13"/>
      <c r="C8" s="13"/>
      <c r="D8" s="13"/>
      <c r="E8" s="13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ht="30.0" customHeight="1">
      <c r="A9" s="12" t="s">
        <v>16</v>
      </c>
      <c r="B9" s="12"/>
      <c r="C9" s="13"/>
      <c r="D9" s="13"/>
      <c r="E9" s="13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ht="30.0" customHeight="1">
      <c r="A10" s="12" t="s">
        <v>16</v>
      </c>
      <c r="B10" s="12"/>
      <c r="C10" s="13"/>
      <c r="D10" s="13"/>
      <c r="E10" s="13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ht="30.0" customHeight="1">
      <c r="A11" s="12" t="s">
        <v>18</v>
      </c>
      <c r="B11" s="13"/>
      <c r="C11" s="13"/>
      <c r="D11" s="13"/>
      <c r="E11" s="13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ht="30.0" customHeight="1">
      <c r="A12" s="12" t="s">
        <v>18</v>
      </c>
      <c r="B12" s="13"/>
      <c r="C12" s="13"/>
      <c r="D12" s="13"/>
      <c r="E12" s="13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ht="30.0" customHeight="1">
      <c r="A13" s="12" t="s">
        <v>19</v>
      </c>
      <c r="B13" s="13"/>
      <c r="C13" s="13"/>
      <c r="D13" s="13"/>
      <c r="E13" s="13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ht="30.0" customHeight="1">
      <c r="A14" s="12" t="s">
        <v>19</v>
      </c>
      <c r="B14" s="13"/>
      <c r="C14" s="13"/>
      <c r="D14" s="13"/>
      <c r="E14" s="13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ht="30.0" customHeight="1">
      <c r="A15" s="6" t="s">
        <v>21</v>
      </c>
      <c r="B15" s="2"/>
      <c r="C15" s="2"/>
      <c r="D15" s="8">
        <f>'1º'!H2</f>
        <v>46294</v>
      </c>
      <c r="E15" s="3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ht="30.0" customHeight="1">
      <c r="A16" s="9" t="s">
        <v>5</v>
      </c>
      <c r="B16" s="10" t="s">
        <v>6</v>
      </c>
      <c r="C16" s="10" t="s">
        <v>7</v>
      </c>
      <c r="D16" s="10" t="s">
        <v>8</v>
      </c>
      <c r="E16" s="9" t="s">
        <v>9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ht="30.0" customHeight="1">
      <c r="A17" s="11"/>
      <c r="B17" s="11"/>
      <c r="C17" s="11"/>
      <c r="D17" s="11"/>
      <c r="E17" s="11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ht="30.0" customHeight="1">
      <c r="A18" s="12" t="s">
        <v>16</v>
      </c>
      <c r="B18" s="13"/>
      <c r="C18" s="15"/>
      <c r="D18" s="13"/>
      <c r="E18" s="13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ht="30.0" customHeight="1">
      <c r="A19" s="12" t="s">
        <v>16</v>
      </c>
      <c r="B19" s="13"/>
      <c r="C19" s="13"/>
      <c r="D19" s="13"/>
      <c r="E19" s="13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ht="30.0" customHeight="1">
      <c r="A20" s="12" t="s">
        <v>23</v>
      </c>
      <c r="B20" s="13"/>
      <c r="C20" s="13"/>
      <c r="D20" s="13"/>
      <c r="E20" s="13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ht="30.0" customHeight="1">
      <c r="A21" s="12" t="s">
        <v>23</v>
      </c>
      <c r="B21" s="13"/>
      <c r="C21" s="13"/>
      <c r="D21" s="13"/>
      <c r="E21" s="13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ht="30.0" customHeight="1">
      <c r="A22" s="12" t="s">
        <v>25</v>
      </c>
      <c r="B22" s="13"/>
      <c r="C22" s="13"/>
      <c r="D22" s="13"/>
      <c r="E22" s="13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ht="30.0" customHeight="1">
      <c r="A23" s="12" t="s">
        <v>16</v>
      </c>
      <c r="B23" s="13"/>
      <c r="C23" s="13"/>
      <c r="D23" s="13"/>
      <c r="E23" s="13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ht="30.0" customHeight="1">
      <c r="A24" s="19" t="s">
        <v>26</v>
      </c>
      <c r="B24" s="13"/>
      <c r="C24" s="13"/>
      <c r="D24" s="13"/>
      <c r="E24" s="13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ht="30.0" customHeight="1">
      <c r="A25" s="19" t="s">
        <v>26</v>
      </c>
      <c r="B25" s="13"/>
      <c r="C25" s="13"/>
      <c r="D25" s="13"/>
      <c r="E25" s="13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ht="30.0" customHeight="1">
      <c r="A26" s="6" t="s">
        <v>27</v>
      </c>
      <c r="B26" s="2"/>
      <c r="C26" s="2"/>
      <c r="D26" s="8">
        <f>'1º'!H3</f>
        <v>46295</v>
      </c>
      <c r="E26" s="3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ht="30.0" customHeight="1">
      <c r="A27" s="9" t="s">
        <v>5</v>
      </c>
      <c r="B27" s="10" t="s">
        <v>6</v>
      </c>
      <c r="C27" s="10" t="s">
        <v>7</v>
      </c>
      <c r="D27" s="10" t="s">
        <v>8</v>
      </c>
      <c r="E27" s="9" t="s">
        <v>9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ht="30.0" customHeight="1">
      <c r="A28" s="11"/>
      <c r="B28" s="11"/>
      <c r="C28" s="11"/>
      <c r="D28" s="11"/>
      <c r="E28" s="11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ht="30.0" customHeight="1">
      <c r="A29" s="12" t="s">
        <v>32</v>
      </c>
      <c r="B29" s="13"/>
      <c r="C29" s="15"/>
      <c r="D29" s="13"/>
      <c r="E29" s="13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ht="30.0" customHeight="1">
      <c r="A30" s="12" t="s">
        <v>32</v>
      </c>
      <c r="B30" s="13"/>
      <c r="C30" s="13"/>
      <c r="D30" s="13"/>
      <c r="E30" s="13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ht="30.0" customHeight="1">
      <c r="A31" s="12" t="s">
        <v>23</v>
      </c>
      <c r="B31" s="13"/>
      <c r="C31" s="13"/>
      <c r="D31" s="13"/>
      <c r="E31" s="1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ht="30.0" customHeight="1">
      <c r="A32" s="12" t="s">
        <v>23</v>
      </c>
      <c r="B32" s="13"/>
      <c r="C32" s="13"/>
      <c r="D32" s="13"/>
      <c r="E32" s="13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ht="30.0" customHeight="1">
      <c r="A33" s="12" t="s">
        <v>15</v>
      </c>
      <c r="B33" s="12"/>
      <c r="C33" s="13"/>
      <c r="D33" s="13"/>
      <c r="E33" s="13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ht="30.0" customHeight="1">
      <c r="A34" s="12" t="s">
        <v>15</v>
      </c>
      <c r="B34" s="12"/>
      <c r="C34" s="13"/>
      <c r="D34" s="13"/>
      <c r="E34" s="13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ht="30.0" customHeight="1">
      <c r="A35" s="12" t="s">
        <v>36</v>
      </c>
      <c r="B35" s="13"/>
      <c r="C35" s="13"/>
      <c r="D35" s="13"/>
      <c r="E35" s="13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ht="30.0" customHeight="1">
      <c r="A36" s="12" t="s">
        <v>36</v>
      </c>
      <c r="B36" s="13"/>
      <c r="C36" s="13"/>
      <c r="D36" s="13"/>
      <c r="E36" s="13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ht="30.0" customHeight="1">
      <c r="A37" s="12" t="s">
        <v>19</v>
      </c>
      <c r="B37" s="13"/>
      <c r="C37" s="13"/>
      <c r="D37" s="13"/>
      <c r="E37" s="13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ht="30.0" customHeight="1">
      <c r="A38" s="12" t="s">
        <v>19</v>
      </c>
      <c r="B38" s="13"/>
      <c r="C38" s="13"/>
      <c r="D38" s="13"/>
      <c r="E38" s="13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ht="30.0" customHeight="1">
      <c r="A39" s="6" t="s">
        <v>38</v>
      </c>
      <c r="B39" s="2"/>
      <c r="C39" s="2"/>
      <c r="D39" s="8">
        <f>'1º'!H4</f>
        <v>46296</v>
      </c>
      <c r="E39" s="3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ht="30.0" customHeight="1">
      <c r="A40" s="9" t="s">
        <v>5</v>
      </c>
      <c r="B40" s="10" t="s">
        <v>6</v>
      </c>
      <c r="C40" s="10" t="s">
        <v>7</v>
      </c>
      <c r="D40" s="10" t="s">
        <v>8</v>
      </c>
      <c r="E40" s="9" t="s">
        <v>9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ht="30.0" customHeight="1">
      <c r="A41" s="11"/>
      <c r="B41" s="11"/>
      <c r="C41" s="11"/>
      <c r="D41" s="11"/>
      <c r="E41" s="11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ht="30.0" customHeight="1">
      <c r="A42" s="12" t="s">
        <v>10</v>
      </c>
      <c r="B42" s="13"/>
      <c r="C42" s="13"/>
      <c r="D42" s="13"/>
      <c r="E42" s="13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ht="30.0" customHeight="1">
      <c r="A43" s="12" t="s">
        <v>10</v>
      </c>
      <c r="B43" s="13"/>
      <c r="C43" s="13"/>
      <c r="D43" s="13"/>
      <c r="E43" s="13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ht="30.0" customHeight="1">
      <c r="A44" s="12" t="s">
        <v>37</v>
      </c>
      <c r="B44" s="13"/>
      <c r="C44" s="13"/>
      <c r="D44" s="13"/>
      <c r="E44" s="13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ht="30.0" customHeight="1">
      <c r="A45" s="12" t="s">
        <v>37</v>
      </c>
      <c r="B45" s="13"/>
      <c r="C45" s="13"/>
      <c r="D45" s="13"/>
      <c r="E45" s="13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ht="30.0" customHeight="1">
      <c r="A46" s="12" t="s">
        <v>15</v>
      </c>
      <c r="B46" s="13"/>
      <c r="C46" s="13"/>
      <c r="D46" s="13"/>
      <c r="E46" s="13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ht="30.0" customHeight="1">
      <c r="A47" s="12" t="s">
        <v>15</v>
      </c>
      <c r="B47" s="13"/>
      <c r="C47" s="13"/>
      <c r="D47" s="13"/>
      <c r="E47" s="13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ht="30.0" customHeight="1">
      <c r="A48" s="12" t="s">
        <v>20</v>
      </c>
      <c r="B48" s="13"/>
      <c r="C48" s="13"/>
      <c r="D48" s="13"/>
      <c r="E48" s="13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ht="30.0" customHeight="1">
      <c r="A49" s="12" t="s">
        <v>20</v>
      </c>
      <c r="B49" s="13"/>
      <c r="C49" s="13"/>
      <c r="D49" s="13"/>
      <c r="E49" s="13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ht="30.0" customHeight="1">
      <c r="A50" s="6" t="s">
        <v>42</v>
      </c>
      <c r="B50" s="2"/>
      <c r="C50" s="2"/>
      <c r="D50" s="8">
        <f>'1º'!H5</f>
        <v>46297</v>
      </c>
      <c r="E50" s="3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ht="30.0" customHeight="1">
      <c r="A51" s="9" t="s">
        <v>5</v>
      </c>
      <c r="B51" s="10" t="s">
        <v>6</v>
      </c>
      <c r="C51" s="10" t="s">
        <v>7</v>
      </c>
      <c r="D51" s="10" t="s">
        <v>8</v>
      </c>
      <c r="E51" s="9" t="s">
        <v>9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 ht="30.0" customHeight="1">
      <c r="A52" s="11"/>
      <c r="B52" s="11"/>
      <c r="C52" s="11"/>
      <c r="D52" s="11"/>
      <c r="E52" s="11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ht="30.0" customHeight="1">
      <c r="A53" s="12" t="s">
        <v>44</v>
      </c>
      <c r="B53" s="13"/>
      <c r="C53" s="13"/>
      <c r="D53" s="13"/>
      <c r="E53" s="13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 ht="30.0" customHeight="1">
      <c r="A54" s="12" t="s">
        <v>44</v>
      </c>
      <c r="B54" s="13"/>
      <c r="C54" s="13"/>
      <c r="D54" s="13"/>
      <c r="E54" s="13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ht="30.0" customHeight="1">
      <c r="A55" s="12" t="s">
        <v>25</v>
      </c>
      <c r="B55" s="13"/>
      <c r="C55" s="13"/>
      <c r="D55" s="13"/>
      <c r="E55" s="13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ht="30.0" customHeight="1">
      <c r="A56" s="12" t="s">
        <v>25</v>
      </c>
      <c r="B56" s="13"/>
      <c r="C56" s="13"/>
      <c r="D56" s="13"/>
      <c r="E56" s="13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ht="30.0" customHeight="1">
      <c r="A57" s="12" t="s">
        <v>33</v>
      </c>
      <c r="B57" s="13"/>
      <c r="C57" s="13"/>
      <c r="D57" s="13"/>
      <c r="E57" s="13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ht="30.0" customHeight="1">
      <c r="A58" s="12" t="s">
        <v>33</v>
      </c>
      <c r="B58" s="13"/>
      <c r="C58" s="13"/>
      <c r="D58" s="13"/>
      <c r="E58" s="13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ht="30.0" customHeight="1">
      <c r="A59" s="12" t="s">
        <v>15</v>
      </c>
      <c r="B59" s="13"/>
      <c r="C59" s="13"/>
      <c r="D59" s="13"/>
      <c r="E59" s="13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ht="30.0" customHeight="1">
      <c r="A60" s="12" t="s">
        <v>32</v>
      </c>
      <c r="B60" s="14"/>
      <c r="C60" s="14"/>
      <c r="D60" s="14"/>
      <c r="E60" s="14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ht="30.0" customHeight="1">
      <c r="A61" s="19" t="s">
        <v>26</v>
      </c>
      <c r="B61" s="13"/>
      <c r="C61" s="13"/>
      <c r="D61" s="13"/>
      <c r="E61" s="13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ht="30.0" customHeight="1">
      <c r="A62" s="19" t="s">
        <v>26</v>
      </c>
      <c r="B62" s="13"/>
      <c r="C62" s="13"/>
      <c r="D62" s="13"/>
      <c r="E62" s="13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ht="30.0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ht="30.0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ht="30.0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ht="30.0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ht="30.0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ht="30.0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ht="30.0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ht="30.0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 ht="30.0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 ht="30.0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ht="30.0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 ht="30.0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ht="30.0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ht="30.0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ht="30.0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ht="30.0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ht="30.0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ht="30.0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ht="30.0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ht="30.0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ht="30.0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ht="30.0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ht="30.0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ht="30.0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ht="30.0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ht="30.0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ht="30.0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ht="30.0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ht="30.0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ht="30.0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ht="30.0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ht="30.0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ht="30.0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ht="30.0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ht="30.0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ht="30.0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ht="30.0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ht="30.0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ht="30.0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ht="30.0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ht="30.0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ht="30.0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ht="30.0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ht="30.0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ht="30.0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ht="30.0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ht="30.0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ht="30.0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ht="30.0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ht="30.0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ht="30.0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ht="30.0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ht="30.0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ht="30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ht="30.0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ht="30.0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ht="30.0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ht="30.0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ht="30.0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 ht="30.0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ht="30.0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ht="30.0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ht="30.0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ht="30.0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ht="30.0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ht="30.0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ht="30.0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ht="30.0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ht="30.0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ht="30.0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ht="30.0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ht="30.0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ht="30.0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ht="30.0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ht="30.0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ht="30.0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ht="30.0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ht="30.0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ht="30.0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ht="30.0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ht="30.0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ht="30.0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ht="30.0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ht="30.0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ht="30.0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ht="30.0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ht="30.0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ht="30.0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ht="30.0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ht="30.0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ht="30.0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ht="30.0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ht="30.0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ht="30.0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ht="30.0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ht="30.0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ht="30.0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ht="30.0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ht="30.0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ht="30.0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ht="30.0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ht="30.0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ht="30.0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ht="30.0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ht="30.0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ht="30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ht="30.0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ht="30.0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ht="30.0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ht="30.0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ht="30.0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ht="30.0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ht="30.0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ht="30.0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 ht="30.0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ht="30.0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ht="30.0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ht="30.0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ht="30.0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 ht="30.0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ht="30.0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ht="30.0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 ht="30.0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 ht="30.0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ht="30.0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 ht="30.0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ht="30.0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ht="30.0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 ht="30.0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ht="30.0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 ht="30.0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ht="30.0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ht="30.0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 ht="30.0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 ht="30.0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 ht="30.0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 ht="30.0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ht="30.0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 ht="30.0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 ht="30.0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 ht="30.0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 ht="30.0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 ht="30.0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 ht="30.0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 ht="30.0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 ht="30.0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 ht="30.0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 ht="30.0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 ht="30.0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 ht="30.0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 ht="30.0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 ht="30.0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 ht="30.0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 ht="30.0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 ht="30.0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 ht="30.0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 ht="30.0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 ht="30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 ht="30.0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 ht="30.0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 ht="30.0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 ht="30.0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 ht="30.0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 ht="30.0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 ht="30.0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 ht="30.0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 ht="30.0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 ht="30.0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 ht="30.0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 ht="30.0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 ht="30.0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 ht="30.0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 ht="30.0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 ht="30.0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 ht="30.0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 ht="30.0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 ht="30.0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 ht="30.0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 ht="30.0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 ht="30.0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 ht="30.0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 ht="30.0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 ht="30.0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 ht="30.0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 ht="30.0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 ht="30.0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 ht="30.0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 ht="30.0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 ht="30.0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 ht="30.0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 ht="30.0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 ht="30.0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 ht="30.0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 ht="30.0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 ht="30.0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 ht="30.0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 ht="30.0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 ht="30.0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 ht="30.0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 ht="30.0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 ht="30.0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 ht="30.0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 ht="30.0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 ht="30.0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 ht="30.0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 ht="30.0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 ht="30.0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 ht="30.0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 ht="30.0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 ht="30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 ht="30.0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 ht="30.0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 ht="30.0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 ht="30.0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 ht="30.0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 ht="30.0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 ht="30.0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 ht="30.0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 ht="30.0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 ht="30.0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 ht="30.0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 ht="30.0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 ht="30.0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 ht="30.0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 ht="30.0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 ht="30.0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 ht="30.0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 ht="30.0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 ht="30.0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 ht="30.0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 ht="30.0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 ht="30.0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 ht="30.0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 ht="30.0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 ht="30.0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 ht="30.0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 ht="30.0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 ht="30.0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 ht="30.0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 ht="30.0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 ht="30.0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 ht="30.0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 ht="30.0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 ht="30.0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 ht="30.0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 ht="30.0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 ht="30.0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 ht="30.0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 ht="30.0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 ht="30.0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 ht="30.0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 ht="30.0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 ht="30.0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 ht="30.0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 ht="30.0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 ht="30.0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 ht="30.0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 ht="30.0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 ht="30.0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 ht="30.0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 ht="30.0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 ht="30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 ht="30.0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 ht="30.0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 ht="30.0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 ht="30.0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 ht="30.0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 ht="30.0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 ht="30.0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 ht="30.0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 ht="30.0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 ht="30.0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 ht="30.0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 ht="30.0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 ht="30.0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 ht="30.0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 ht="30.0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 ht="30.0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 ht="30.0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 ht="30.0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 ht="30.0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 ht="30.0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 ht="30.0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 ht="30.0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 ht="30.0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 ht="30.0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 ht="30.0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 ht="30.0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 ht="30.0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 ht="30.0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 ht="30.0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 ht="30.0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 ht="30.0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 ht="30.0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 ht="30.0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 ht="30.0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 ht="30.0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 ht="30.0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 ht="30.0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 ht="30.0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 ht="30.0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 ht="30.0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 ht="30.0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 ht="30.0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 ht="30.0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 ht="30.0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 ht="30.0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 ht="30.0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 ht="30.0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 ht="30.0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 ht="30.0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 ht="30.0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 ht="30.0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 ht="30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 ht="30.0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 ht="30.0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 ht="30.0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 ht="30.0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 ht="30.0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 ht="30.0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 ht="30.0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 ht="30.0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 ht="30.0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 ht="30.0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 ht="30.0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 ht="30.0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 ht="30.0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 ht="30.0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 ht="30.0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 ht="30.0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 ht="30.0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 ht="30.0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 ht="30.0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 ht="30.0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 ht="30.0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 ht="30.0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 ht="30.0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 ht="30.0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 ht="30.0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 ht="30.0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 ht="30.0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 ht="30.0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 ht="30.0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 ht="30.0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 ht="30.0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 ht="30.0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 ht="30.0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 ht="30.0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 ht="30.0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 ht="30.0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 ht="30.0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 ht="30.0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 ht="30.0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 ht="30.0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 ht="30.0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 ht="30.0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 ht="30.0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 ht="30.0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 ht="30.0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 ht="30.0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 ht="30.0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 ht="30.0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 ht="30.0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 ht="30.0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 ht="30.0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 ht="30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 ht="30.0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 ht="30.0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 ht="30.0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 ht="30.0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 ht="30.0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 ht="30.0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 ht="30.0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 ht="30.0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 ht="30.0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 ht="30.0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 ht="30.0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 ht="30.0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 ht="30.0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 ht="30.0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 ht="30.0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 ht="30.0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 ht="30.0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 ht="30.0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 ht="30.0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 ht="30.0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 ht="30.0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 ht="30.0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 ht="30.0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 ht="30.0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 ht="30.0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 ht="30.0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 ht="30.0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 ht="30.0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 ht="30.0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 ht="30.0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 ht="30.0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 ht="30.0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 ht="30.0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 ht="30.0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 ht="30.0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 ht="30.0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 ht="30.0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 ht="30.0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 ht="30.0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 ht="30.0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 ht="30.0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 ht="30.0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 ht="30.0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 ht="30.0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 ht="30.0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 ht="30.0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 ht="30.0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 ht="30.0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 ht="30.0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 ht="30.0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 ht="30.0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 ht="30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 ht="30.0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 ht="30.0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 ht="30.0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 ht="30.0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 ht="30.0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 ht="30.0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 ht="30.0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 ht="30.0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 ht="30.0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 ht="30.0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 ht="30.0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 ht="30.0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 ht="30.0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 ht="30.0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 ht="30.0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 ht="30.0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 ht="30.0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 ht="30.0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 ht="30.0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 ht="30.0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 ht="30.0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 ht="30.0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 ht="30.0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 ht="30.0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 ht="30.0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 ht="30.0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 ht="30.0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 ht="30.0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 ht="30.0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 ht="30.0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 ht="30.0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 ht="30.0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 ht="30.0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 ht="30.0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 ht="30.0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 ht="30.0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 ht="30.0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 ht="30.0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 ht="30.0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 ht="30.0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 ht="30.0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 ht="30.0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 ht="30.0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 ht="30.0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 ht="30.0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 ht="30.0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 ht="30.0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 ht="30.0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 ht="30.0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 ht="30.0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 ht="30.0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 ht="30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 ht="30.0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 ht="30.0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 ht="30.0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 ht="30.0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 ht="30.0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 ht="30.0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 ht="30.0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 ht="30.0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 ht="30.0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 ht="30.0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 ht="30.0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 ht="30.0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 ht="30.0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 ht="30.0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 ht="30.0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 ht="30.0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 ht="30.0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 ht="30.0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 ht="30.0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 ht="30.0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 ht="30.0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 ht="30.0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 ht="30.0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 ht="30.0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 ht="30.0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 ht="30.0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 ht="30.0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 ht="30.0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 ht="30.0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 ht="30.0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 ht="30.0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 ht="30.0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 ht="30.0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 ht="30.0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 ht="30.0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 ht="30.0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 ht="30.0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 ht="30.0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 ht="30.0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 ht="30.0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 ht="30.0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 ht="30.0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 ht="30.0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 ht="30.0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 ht="30.0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 ht="30.0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 ht="30.0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 ht="30.0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 ht="30.0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 ht="30.0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 ht="30.0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 ht="30.0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 ht="30.0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 ht="30.0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 ht="30.0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 ht="30.0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 ht="30.0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 ht="30.0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 ht="30.0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 ht="30.0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 ht="30.0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 ht="30.0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 ht="30.0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 ht="30.0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 ht="30.0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 ht="30.0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 ht="30.0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 ht="30.0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 ht="30.0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 ht="30.0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 ht="30.0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 ht="30.0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 ht="30.0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 ht="30.0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 ht="30.0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 ht="30.0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 ht="30.0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 ht="30.0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 ht="30.0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 ht="30.0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 ht="30.0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 ht="30.0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 ht="30.0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 ht="30.0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 ht="30.0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 ht="30.0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 ht="30.0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 ht="30.0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 ht="30.0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 ht="30.0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 ht="30.0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 ht="30.0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 ht="30.0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 ht="30.0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 ht="30.0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 ht="30.0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 ht="30.0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 ht="30.0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 ht="30.0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 ht="30.0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 ht="30.0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 ht="30.0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 ht="30.0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 ht="30.0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 ht="30.0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 ht="30.0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 ht="30.0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 ht="30.0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 ht="30.0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 ht="30.0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 ht="30.0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 ht="30.0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 ht="30.0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 ht="30.0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 ht="30.0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 ht="30.0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 ht="30.0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 ht="30.0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 ht="30.0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 ht="30.0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 ht="30.0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 ht="30.0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 ht="30.0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 ht="30.0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 ht="30.0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 ht="30.0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 ht="30.0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 ht="30.0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 ht="30.0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 ht="30.0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 ht="30.0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 ht="30.0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 ht="30.0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 ht="30.0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 ht="30.0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 ht="30.0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 ht="30.0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 ht="30.0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 ht="30.0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 ht="30.0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 ht="30.0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 ht="30.0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 ht="30.0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 ht="30.0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 ht="30.0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 ht="30.0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 ht="30.0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 ht="30.0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 ht="30.0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 ht="30.0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 ht="30.0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 ht="30.0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 ht="30.0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 ht="30.0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 ht="30.0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 ht="30.0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 ht="30.0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 ht="30.0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 ht="30.0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 ht="30.0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 ht="30.0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 ht="30.0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 ht="30.0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 ht="30.0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 ht="30.0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 ht="30.0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 ht="30.0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 ht="30.0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 ht="30.0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 ht="30.0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 ht="30.0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 ht="30.0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 ht="30.0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 ht="30.0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 ht="30.0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 ht="30.0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 ht="30.0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 ht="30.0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 ht="30.0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 ht="30.0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 ht="30.0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 ht="30.0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 ht="30.0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 ht="30.0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 ht="30.0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 ht="30.0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 ht="30.0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 ht="30.0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 ht="30.0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 ht="30.0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 ht="30.0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 ht="30.0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 ht="30.0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 ht="30.0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 ht="30.0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 ht="30.0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 ht="30.0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 ht="30.0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 ht="30.0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 ht="30.0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 ht="30.0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 ht="30.0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 ht="30.0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 ht="30.0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 ht="30.0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 ht="30.0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 ht="30.0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 ht="30.0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 ht="30.0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 ht="30.0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 ht="30.0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 ht="30.0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 ht="30.0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 ht="30.0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 ht="30.0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 ht="30.0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 ht="30.0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 ht="30.0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 ht="30.0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 ht="30.0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 ht="30.0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 ht="30.0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 ht="30.0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 ht="30.0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 ht="30.0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 ht="30.0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 ht="30.0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 ht="30.0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 ht="30.0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 ht="30.0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 ht="30.0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 ht="30.0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 ht="30.0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 ht="30.0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 ht="30.0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 ht="30.0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 ht="30.0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 ht="30.0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 ht="30.0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 ht="30.0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 ht="30.0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 ht="30.0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 ht="30.0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 ht="30.0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 ht="30.0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 ht="30.0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 ht="30.0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 ht="30.0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 ht="30.0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 ht="30.0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 ht="30.0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 ht="30.0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 ht="30.0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 ht="30.0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 ht="30.0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 ht="30.0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 ht="30.0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 ht="30.0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 ht="30.0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 ht="30.0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 ht="30.0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 ht="30.0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 ht="30.0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 ht="30.0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 ht="30.0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 ht="30.0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 ht="30.0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 ht="30.0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 ht="30.0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 ht="30.0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 ht="30.0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 ht="30.0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 ht="30.0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 ht="30.0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 ht="30.0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 ht="30.0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 ht="30.0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 ht="30.0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 ht="30.0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 ht="30.0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 ht="30.0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 ht="30.0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 ht="30.0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 ht="30.0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 ht="30.0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 ht="30.0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 ht="30.0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 ht="30.0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 ht="30.0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 ht="30.0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 ht="30.0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 ht="30.0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 ht="30.0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 ht="30.0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 ht="30.0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 ht="30.0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 ht="30.0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 ht="30.0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 ht="30.0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 ht="30.0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 ht="30.0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 ht="30.0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 ht="30.0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 ht="30.0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 ht="30.0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 ht="30.0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 ht="30.0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 ht="30.0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 ht="30.0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 ht="30.0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 ht="30.0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 ht="30.0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 ht="30.0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 ht="30.0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 ht="30.0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 ht="30.0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 ht="30.0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 ht="30.0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 ht="30.0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 ht="30.0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 ht="30.0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 ht="30.0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 ht="30.0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 ht="30.0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 ht="30.0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 ht="30.0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 ht="30.0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 ht="30.0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 ht="30.0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 ht="30.0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 ht="30.0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 ht="30.0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 ht="30.0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 ht="30.0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 ht="30.0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 ht="30.0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 ht="30.0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 ht="30.0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 ht="30.0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 ht="30.0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 ht="30.0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 ht="30.0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 ht="30.0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 ht="30.0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 ht="30.0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 ht="30.0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 ht="30.0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 ht="30.0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 ht="30.0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 ht="30.0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 ht="30.0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 ht="30.0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 ht="30.0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 ht="30.0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 ht="30.0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 ht="30.0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 ht="30.0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 ht="30.0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 ht="30.0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 ht="30.0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 ht="30.0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 ht="30.0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 ht="30.0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 ht="30.0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 ht="30.0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 ht="30.0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 ht="30.0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 ht="30.0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 ht="30.0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 ht="30.0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 ht="30.0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 ht="30.0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 ht="30.0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 ht="30.0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 ht="30.0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 ht="30.0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 ht="30.0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 ht="30.0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 ht="30.0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 ht="30.0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 ht="30.0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 ht="30.0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 ht="30.0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 ht="30.0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 ht="30.0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 ht="30.0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 ht="30.0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 ht="30.0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 ht="30.0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 ht="30.0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 ht="30.0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 ht="30.0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 ht="30.0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 ht="30.0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 ht="30.0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 ht="30.0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 ht="30.0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 ht="30.0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 ht="30.0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 ht="30.0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 ht="30.0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 ht="30.0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 ht="30.0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 ht="30.0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 ht="30.0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 ht="30.0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 ht="30.0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 ht="30.0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 ht="30.0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 ht="30.0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 ht="30.0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 ht="30.0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 ht="30.0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 ht="30.0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 ht="30.0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 ht="30.0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 ht="30.0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 ht="30.0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 ht="30.0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 ht="30.0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 ht="30.0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 ht="30.0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 ht="30.0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 ht="30.0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 ht="30.0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 ht="30.0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 ht="30.0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 ht="30.0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 ht="30.0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 ht="30.0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 ht="30.0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 ht="30.0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 ht="30.0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 ht="30.0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 ht="30.0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 ht="30.0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 ht="30.0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 ht="30.0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 ht="30.0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 ht="30.0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 ht="30.0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 ht="30.0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 ht="30.0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 ht="30.0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 ht="30.0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 ht="30.0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 ht="30.0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 ht="30.0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 ht="30.0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 ht="30.0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 ht="30.0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 ht="30.0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 ht="30.0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 ht="30.0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 ht="30.0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 ht="30.0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 ht="30.0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 ht="30.0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 ht="30.0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 ht="30.0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 ht="30.0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  <row r="994" ht="30.0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</row>
    <row r="995" ht="30.0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</row>
    <row r="996" ht="30.0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</row>
    <row r="997" ht="30.0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</row>
    <row r="998" ht="30.0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</row>
    <row r="999" ht="30.0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</row>
    <row r="1000" ht="30.0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</row>
    <row r="1001" ht="30.0" customHeight="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</row>
    <row r="1002" ht="30.0" customHeight="1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</row>
    <row r="1003" ht="30.0" customHeight="1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</row>
    <row r="1004" ht="30.0" customHeight="1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</row>
    <row r="1005" ht="30.0" customHeight="1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</row>
  </sheetData>
  <mergeCells count="36">
    <mergeCell ref="A1:E1"/>
    <mergeCell ref="A2:C2"/>
    <mergeCell ref="D2:E2"/>
    <mergeCell ref="A3:A4"/>
    <mergeCell ref="B3:B4"/>
    <mergeCell ref="D3:D4"/>
    <mergeCell ref="E3:E4"/>
    <mergeCell ref="C3:C4"/>
    <mergeCell ref="A15:C15"/>
    <mergeCell ref="D15:E15"/>
    <mergeCell ref="A16:A17"/>
    <mergeCell ref="B16:B17"/>
    <mergeCell ref="D16:D17"/>
    <mergeCell ref="E16:E17"/>
    <mergeCell ref="C16:C17"/>
    <mergeCell ref="A26:C26"/>
    <mergeCell ref="D26:E26"/>
    <mergeCell ref="A27:A28"/>
    <mergeCell ref="B27:B28"/>
    <mergeCell ref="D27:D28"/>
    <mergeCell ref="E27:E28"/>
    <mergeCell ref="C40:C41"/>
    <mergeCell ref="A50:C50"/>
    <mergeCell ref="D50:E50"/>
    <mergeCell ref="A51:A52"/>
    <mergeCell ref="B51:B52"/>
    <mergeCell ref="C51:C52"/>
    <mergeCell ref="D51:D52"/>
    <mergeCell ref="E51:E52"/>
    <mergeCell ref="C27:C28"/>
    <mergeCell ref="A39:C39"/>
    <mergeCell ref="D39:E39"/>
    <mergeCell ref="A40:A41"/>
    <mergeCell ref="B40:B41"/>
    <mergeCell ref="D40:D41"/>
    <mergeCell ref="E40:E41"/>
  </mergeCells>
  <printOptions/>
  <pageMargins bottom="0.20230954001875381" footer="0.0" header="0.0" left="0.22928414535458766" right="0.040461908003750754" top="0.13104449840023602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22.0"/>
    <col customWidth="1" min="3" max="3" width="35.86"/>
    <col customWidth="1" min="4" max="4" width="38.14"/>
    <col customWidth="1" min="5" max="5" width="31.71"/>
    <col customWidth="1" min="6" max="25" width="10.71"/>
  </cols>
  <sheetData>
    <row r="1" ht="30.0" customHeight="1">
      <c r="A1" s="1" t="s">
        <v>48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30.0" customHeight="1">
      <c r="A2" s="6" t="s">
        <v>4</v>
      </c>
      <c r="B2" s="2"/>
      <c r="C2" s="2"/>
      <c r="D2" s="8">
        <f>'1º'!H1</f>
        <v>46293</v>
      </c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30.0" customHeight="1">
      <c r="A3" s="9" t="s">
        <v>5</v>
      </c>
      <c r="B3" s="10" t="s">
        <v>6</v>
      </c>
      <c r="C3" s="10" t="s">
        <v>7</v>
      </c>
      <c r="D3" s="10" t="s">
        <v>8</v>
      </c>
      <c r="E3" s="9" t="s">
        <v>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30.0" customHeight="1">
      <c r="A4" s="11"/>
      <c r="B4" s="11"/>
      <c r="C4" s="11"/>
      <c r="D4" s="11"/>
      <c r="E4" s="11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30.0" customHeight="1">
      <c r="A5" s="12" t="s">
        <v>32</v>
      </c>
      <c r="B5" s="13"/>
      <c r="C5" s="13"/>
      <c r="D5" s="13"/>
      <c r="E5" s="13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ht="30.0" customHeight="1">
      <c r="A6" s="12" t="s">
        <v>32</v>
      </c>
      <c r="B6" s="13"/>
      <c r="C6" s="13"/>
      <c r="D6" s="13"/>
      <c r="E6" s="13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ht="30.0" customHeight="1">
      <c r="A7" s="12" t="s">
        <v>49</v>
      </c>
      <c r="B7" s="13"/>
      <c r="C7" s="13"/>
      <c r="D7" s="13"/>
      <c r="E7" s="13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ht="30.0" customHeight="1">
      <c r="A8" s="12" t="s">
        <v>49</v>
      </c>
      <c r="B8" s="13"/>
      <c r="C8" s="13"/>
      <c r="D8" s="13"/>
      <c r="E8" s="13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ht="30.0" customHeight="1">
      <c r="A9" s="12" t="s">
        <v>10</v>
      </c>
      <c r="B9" s="12"/>
      <c r="C9" s="13"/>
      <c r="D9" s="13"/>
      <c r="E9" s="13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ht="30.0" customHeight="1">
      <c r="A10" s="12" t="s">
        <v>10</v>
      </c>
      <c r="B10" s="12"/>
      <c r="C10" s="13"/>
      <c r="D10" s="13"/>
      <c r="E10" s="13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ht="30.0" customHeight="1">
      <c r="A11" s="12" t="s">
        <v>50</v>
      </c>
      <c r="B11" s="12"/>
      <c r="C11" s="13"/>
      <c r="D11" s="13"/>
      <c r="E11" s="13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ht="30.0" customHeight="1">
      <c r="A12" s="12" t="s">
        <v>50</v>
      </c>
      <c r="B12" s="13"/>
      <c r="C12" s="13"/>
      <c r="D12" s="13"/>
      <c r="E12" s="13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ht="30.0" customHeight="1">
      <c r="A13" s="12" t="s">
        <v>19</v>
      </c>
      <c r="B13" s="13"/>
      <c r="C13" s="13"/>
      <c r="D13" s="13"/>
      <c r="E13" s="13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ht="30.0" customHeight="1">
      <c r="A14" s="12" t="s">
        <v>19</v>
      </c>
      <c r="B14" s="13"/>
      <c r="C14" s="13"/>
      <c r="D14" s="13"/>
      <c r="E14" s="13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ht="30.0" customHeight="1">
      <c r="A15" s="6" t="s">
        <v>21</v>
      </c>
      <c r="B15" s="2"/>
      <c r="C15" s="2"/>
      <c r="D15" s="8">
        <f>'1º'!H2</f>
        <v>46294</v>
      </c>
      <c r="E15" s="3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ht="30.0" customHeight="1">
      <c r="A16" s="9" t="s">
        <v>5</v>
      </c>
      <c r="B16" s="10" t="s">
        <v>6</v>
      </c>
      <c r="C16" s="10" t="s">
        <v>7</v>
      </c>
      <c r="D16" s="10" t="s">
        <v>8</v>
      </c>
      <c r="E16" s="9" t="s">
        <v>9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ht="30.0" customHeight="1">
      <c r="A17" s="11"/>
      <c r="B17" s="11"/>
      <c r="C17" s="11"/>
      <c r="D17" s="11"/>
      <c r="E17" s="11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ht="30.0" customHeight="1">
      <c r="A18" s="12" t="s">
        <v>32</v>
      </c>
      <c r="B18" s="13"/>
      <c r="C18" s="13"/>
      <c r="D18" s="13"/>
      <c r="E18" s="13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ht="30.0" customHeight="1">
      <c r="A19" s="12" t="s">
        <v>51</v>
      </c>
      <c r="B19" s="13"/>
      <c r="C19" s="13"/>
      <c r="D19" s="13"/>
      <c r="E19" s="13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ht="30.0" customHeight="1">
      <c r="A20" s="12" t="s">
        <v>51</v>
      </c>
      <c r="B20" s="13"/>
      <c r="C20" s="13"/>
      <c r="D20" s="13"/>
      <c r="E20" s="13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ht="30.0" customHeight="1">
      <c r="A21" s="12" t="s">
        <v>51</v>
      </c>
      <c r="B21" s="13"/>
      <c r="C21" s="13"/>
      <c r="D21" s="13"/>
      <c r="E21" s="13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ht="30.0" customHeight="1">
      <c r="A22" s="12" t="s">
        <v>23</v>
      </c>
      <c r="B22" s="13"/>
      <c r="C22" s="13"/>
      <c r="D22" s="13"/>
      <c r="E22" s="13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ht="30.0" customHeight="1">
      <c r="A23" s="12" t="s">
        <v>23</v>
      </c>
      <c r="B23" s="13"/>
      <c r="C23" s="13"/>
      <c r="D23" s="13"/>
      <c r="E23" s="13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ht="30.0" customHeight="1">
      <c r="A24" s="12" t="s">
        <v>15</v>
      </c>
      <c r="B24" s="13"/>
      <c r="C24" s="13"/>
      <c r="D24" s="13"/>
      <c r="E24" s="13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ht="30.0" customHeight="1">
      <c r="A25" s="12" t="s">
        <v>15</v>
      </c>
      <c r="B25" s="13"/>
      <c r="C25" s="13"/>
      <c r="D25" s="13"/>
      <c r="E25" s="13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ht="30.0" customHeight="1">
      <c r="A26" s="19" t="s">
        <v>26</v>
      </c>
      <c r="B26" s="13"/>
      <c r="C26" s="13"/>
      <c r="D26" s="13"/>
      <c r="E26" s="13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ht="30.0" customHeight="1">
      <c r="A27" s="19" t="s">
        <v>26</v>
      </c>
      <c r="B27" s="13"/>
      <c r="C27" s="13"/>
      <c r="D27" s="13"/>
      <c r="E27" s="13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ht="30.0" customHeight="1">
      <c r="A28" s="6" t="s">
        <v>27</v>
      </c>
      <c r="B28" s="2"/>
      <c r="C28" s="2"/>
      <c r="D28" s="8">
        <f>'1º'!H3</f>
        <v>46295</v>
      </c>
      <c r="E28" s="3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ht="30.0" customHeight="1">
      <c r="A29" s="9" t="s">
        <v>5</v>
      </c>
      <c r="B29" s="10" t="s">
        <v>6</v>
      </c>
      <c r="C29" s="10" t="s">
        <v>7</v>
      </c>
      <c r="D29" s="10" t="s">
        <v>8</v>
      </c>
      <c r="E29" s="9" t="s">
        <v>9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ht="30.0" customHeight="1">
      <c r="A30" s="11"/>
      <c r="B30" s="11"/>
      <c r="C30" s="11"/>
      <c r="D30" s="11"/>
      <c r="E30" s="11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ht="30.0" customHeight="1">
      <c r="A31" s="12" t="s">
        <v>18</v>
      </c>
      <c r="B31" s="13"/>
      <c r="C31" s="13"/>
      <c r="D31" s="13"/>
      <c r="E31" s="1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ht="30.0" customHeight="1">
      <c r="A32" s="12" t="s">
        <v>52</v>
      </c>
      <c r="B32" s="13"/>
      <c r="C32" s="13"/>
      <c r="D32" s="13"/>
      <c r="E32" s="13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ht="30.0" customHeight="1">
      <c r="A33" s="12" t="s">
        <v>15</v>
      </c>
      <c r="B33" s="13"/>
      <c r="C33" s="13"/>
      <c r="D33" s="13"/>
      <c r="E33" s="13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ht="30.0" customHeight="1">
      <c r="A34" s="12" t="s">
        <v>15</v>
      </c>
      <c r="B34" s="13"/>
      <c r="C34" s="13"/>
      <c r="D34" s="13"/>
      <c r="E34" s="13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ht="30.0" customHeight="1">
      <c r="A35" s="12" t="s">
        <v>49</v>
      </c>
      <c r="B35" s="13"/>
      <c r="C35" s="13"/>
      <c r="D35" s="13"/>
      <c r="E35" s="13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ht="30.0" customHeight="1">
      <c r="A36" s="12" t="s">
        <v>49</v>
      </c>
      <c r="B36" s="13"/>
      <c r="C36" s="13"/>
      <c r="D36" s="13"/>
      <c r="E36" s="13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ht="30.0" customHeight="1">
      <c r="A37" s="12" t="s">
        <v>33</v>
      </c>
      <c r="B37" s="13"/>
      <c r="C37" s="13"/>
      <c r="D37" s="13"/>
      <c r="E37" s="13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ht="30.0" customHeight="1">
      <c r="A38" s="12" t="s">
        <v>33</v>
      </c>
      <c r="B38" s="13"/>
      <c r="C38" s="13"/>
      <c r="D38" s="13"/>
      <c r="E38" s="13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ht="30.0" customHeight="1">
      <c r="A39" s="12" t="s">
        <v>19</v>
      </c>
      <c r="B39" s="13"/>
      <c r="C39" s="13"/>
      <c r="D39" s="13"/>
      <c r="E39" s="13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ht="30.0" customHeight="1">
      <c r="A40" s="12" t="s">
        <v>19</v>
      </c>
      <c r="B40" s="13"/>
      <c r="C40" s="13"/>
      <c r="D40" s="13"/>
      <c r="E40" s="13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ht="30.0" customHeight="1">
      <c r="A41" s="6" t="s">
        <v>38</v>
      </c>
      <c r="B41" s="2"/>
      <c r="C41" s="2"/>
      <c r="D41" s="8">
        <f>'1º'!H4</f>
        <v>46296</v>
      </c>
      <c r="E41" s="3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ht="30.0" customHeight="1">
      <c r="A42" s="9" t="s">
        <v>5</v>
      </c>
      <c r="B42" s="10" t="s">
        <v>6</v>
      </c>
      <c r="C42" s="10" t="s">
        <v>7</v>
      </c>
      <c r="D42" s="10" t="s">
        <v>8</v>
      </c>
      <c r="E42" s="9" t="s">
        <v>9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ht="30.0" customHeight="1">
      <c r="A43" s="11"/>
      <c r="B43" s="11"/>
      <c r="C43" s="11"/>
      <c r="D43" s="11"/>
      <c r="E43" s="11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ht="30.0" customHeight="1">
      <c r="A44" s="12" t="s">
        <v>18</v>
      </c>
      <c r="B44" s="13"/>
      <c r="C44" s="13"/>
      <c r="D44" s="13"/>
      <c r="E44" s="13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ht="30.0" customHeight="1">
      <c r="A45" s="12" t="s">
        <v>18</v>
      </c>
      <c r="B45" s="13"/>
      <c r="C45" s="13"/>
      <c r="D45" s="13"/>
      <c r="E45" s="13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ht="30.0" customHeight="1">
      <c r="A46" s="12" t="s">
        <v>23</v>
      </c>
      <c r="B46" s="13"/>
      <c r="C46" s="13"/>
      <c r="D46" s="13"/>
      <c r="E46" s="13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ht="30.0" customHeight="1">
      <c r="A47" s="12" t="s">
        <v>23</v>
      </c>
      <c r="B47" s="13"/>
      <c r="C47" s="13"/>
      <c r="D47" s="13"/>
      <c r="E47" s="13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ht="30.0" customHeight="1">
      <c r="A48" s="12" t="s">
        <v>10</v>
      </c>
      <c r="B48" s="13"/>
      <c r="C48" s="13"/>
      <c r="D48" s="13"/>
      <c r="E48" s="13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ht="30.0" customHeight="1">
      <c r="A49" s="12" t="s">
        <v>10</v>
      </c>
      <c r="B49" s="13"/>
      <c r="C49" s="13"/>
      <c r="D49" s="13"/>
      <c r="E49" s="13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ht="30.0" customHeight="1">
      <c r="A50" s="12" t="s">
        <v>37</v>
      </c>
      <c r="B50" s="13"/>
      <c r="C50" s="13"/>
      <c r="D50" s="13"/>
      <c r="E50" s="13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ht="30.0" customHeight="1">
      <c r="A51" s="12" t="s">
        <v>37</v>
      </c>
      <c r="B51" s="13"/>
      <c r="C51" s="13"/>
      <c r="D51" s="13"/>
      <c r="E51" s="13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 ht="30.0" customHeight="1">
      <c r="A52" s="19" t="s">
        <v>26</v>
      </c>
      <c r="B52" s="13"/>
      <c r="C52" s="13"/>
      <c r="D52" s="13"/>
      <c r="E52" s="13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ht="30.0" customHeight="1">
      <c r="A53" s="19" t="s">
        <v>26</v>
      </c>
      <c r="B53" s="13"/>
      <c r="C53" s="13"/>
      <c r="D53" s="13"/>
      <c r="E53" s="13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 ht="30.0" customHeight="1">
      <c r="A54" s="6" t="s">
        <v>42</v>
      </c>
      <c r="B54" s="2"/>
      <c r="C54" s="2"/>
      <c r="D54" s="8">
        <f>'1º'!H5</f>
        <v>46297</v>
      </c>
      <c r="E54" s="3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ht="30.0" customHeight="1">
      <c r="A55" s="9" t="s">
        <v>5</v>
      </c>
      <c r="B55" s="10" t="s">
        <v>6</v>
      </c>
      <c r="C55" s="10" t="s">
        <v>7</v>
      </c>
      <c r="D55" s="10" t="s">
        <v>8</v>
      </c>
      <c r="E55" s="9" t="s">
        <v>9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ht="30.0" customHeight="1">
      <c r="A56" s="11"/>
      <c r="B56" s="11"/>
      <c r="C56" s="11"/>
      <c r="D56" s="11"/>
      <c r="E56" s="11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ht="30.0" customHeight="1">
      <c r="A57" s="12" t="s">
        <v>37</v>
      </c>
      <c r="B57" s="13"/>
      <c r="C57" s="13"/>
      <c r="D57" s="13"/>
      <c r="E57" s="13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ht="30.0" customHeight="1">
      <c r="A58" s="12" t="s">
        <v>37</v>
      </c>
      <c r="B58" s="13"/>
      <c r="C58" s="13"/>
      <c r="D58" s="13"/>
      <c r="E58" s="13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ht="30.0" customHeight="1">
      <c r="A59" s="12" t="s">
        <v>44</v>
      </c>
      <c r="B59" s="13"/>
      <c r="C59" s="13"/>
      <c r="D59" s="13"/>
      <c r="E59" s="13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ht="30.0" customHeight="1">
      <c r="A60" s="12" t="s">
        <v>44</v>
      </c>
      <c r="B60" s="13"/>
      <c r="C60" s="13"/>
      <c r="D60" s="13"/>
      <c r="E60" s="13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ht="30.0" customHeight="1">
      <c r="A61" s="12" t="s">
        <v>15</v>
      </c>
      <c r="B61" s="13"/>
      <c r="C61" s="13"/>
      <c r="D61" s="13"/>
      <c r="E61" s="13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ht="30.0" customHeight="1">
      <c r="A62" s="12" t="s">
        <v>15</v>
      </c>
      <c r="B62" s="13"/>
      <c r="C62" s="13"/>
      <c r="D62" s="13"/>
      <c r="E62" s="13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ht="30.0" customHeight="1">
      <c r="A63" s="12" t="s">
        <v>52</v>
      </c>
      <c r="B63" s="13"/>
      <c r="C63" s="13"/>
      <c r="D63" s="13"/>
      <c r="E63" s="13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ht="30.0" customHeight="1">
      <c r="A64" s="12" t="s">
        <v>52</v>
      </c>
      <c r="B64" s="14"/>
      <c r="C64" s="14"/>
      <c r="D64" s="14"/>
      <c r="E64" s="14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ht="30.0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ht="30.0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ht="30.0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ht="30.0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ht="30.0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ht="30.0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 ht="30.0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 ht="30.0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ht="30.0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 ht="30.0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ht="30.0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ht="30.0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ht="30.0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ht="30.0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ht="30.0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ht="30.0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ht="30.0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ht="30.0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ht="30.0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ht="30.0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ht="30.0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ht="30.0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ht="30.0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ht="30.0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ht="30.0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ht="30.0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ht="30.0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ht="30.0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ht="30.0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ht="30.0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ht="30.0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ht="30.0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ht="30.0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ht="30.0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ht="30.0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ht="30.0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ht="30.0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ht="30.0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ht="30.0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ht="30.0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ht="30.0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ht="30.0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ht="30.0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ht="30.0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ht="30.0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ht="30.0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ht="30.0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ht="30.0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ht="30.0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ht="30.0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ht="30.0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ht="30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ht="30.0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ht="30.0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ht="30.0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ht="30.0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ht="30.0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 ht="30.0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ht="30.0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ht="30.0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ht="30.0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ht="30.0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ht="30.0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ht="30.0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ht="30.0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ht="30.0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ht="30.0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ht="30.0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ht="30.0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ht="30.0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ht="30.0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ht="30.0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ht="30.0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ht="30.0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ht="30.0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ht="30.0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ht="30.0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ht="30.0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ht="30.0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ht="30.0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ht="30.0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ht="30.0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ht="30.0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ht="30.0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ht="30.0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ht="30.0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ht="30.0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ht="30.0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ht="30.0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ht="30.0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ht="30.0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ht="30.0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ht="30.0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ht="30.0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ht="30.0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ht="30.0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ht="30.0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ht="30.0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ht="30.0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ht="30.0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ht="30.0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ht="30.0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ht="30.0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ht="30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ht="30.0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ht="30.0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ht="30.0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ht="30.0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ht="30.0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ht="30.0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ht="30.0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ht="30.0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 ht="30.0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ht="30.0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ht="30.0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ht="30.0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ht="30.0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 ht="30.0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ht="30.0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ht="30.0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 ht="30.0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 ht="30.0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ht="30.0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 ht="30.0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ht="30.0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ht="30.0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 ht="30.0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ht="30.0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 ht="30.0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ht="30.0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ht="30.0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 ht="30.0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 ht="30.0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 ht="30.0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 ht="30.0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ht="30.0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 ht="30.0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 ht="30.0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 ht="30.0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 ht="30.0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 ht="30.0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 ht="30.0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 ht="30.0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 ht="30.0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 ht="30.0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 ht="30.0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 ht="30.0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 ht="30.0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 ht="30.0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 ht="30.0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 ht="30.0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 ht="30.0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 ht="30.0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 ht="30.0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 ht="30.0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 ht="30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 ht="30.0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 ht="30.0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 ht="30.0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 ht="30.0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 ht="30.0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 ht="30.0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 ht="30.0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 ht="30.0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 ht="30.0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 ht="30.0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 ht="30.0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 ht="30.0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 ht="30.0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 ht="30.0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 ht="30.0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 ht="30.0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 ht="30.0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 ht="30.0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 ht="30.0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 ht="30.0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 ht="30.0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 ht="30.0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 ht="30.0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 ht="30.0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 ht="30.0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 ht="30.0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 ht="30.0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 ht="30.0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 ht="30.0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 ht="30.0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 ht="30.0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 ht="30.0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 ht="30.0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 ht="30.0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 ht="30.0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 ht="30.0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 ht="30.0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 ht="30.0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 ht="30.0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 ht="30.0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 ht="30.0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 ht="30.0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 ht="30.0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 ht="30.0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 ht="30.0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 ht="30.0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 ht="30.0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 ht="30.0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 ht="30.0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 ht="30.0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 ht="30.0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 ht="30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 ht="30.0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 ht="30.0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 ht="30.0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 ht="30.0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 ht="30.0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 ht="30.0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 ht="30.0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 ht="30.0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 ht="30.0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 ht="30.0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 ht="30.0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 ht="30.0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 ht="30.0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 ht="30.0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 ht="30.0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 ht="30.0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 ht="30.0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 ht="30.0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 ht="30.0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 ht="30.0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 ht="30.0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 ht="30.0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 ht="30.0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 ht="30.0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 ht="30.0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 ht="30.0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 ht="30.0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 ht="30.0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 ht="30.0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 ht="30.0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 ht="30.0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 ht="30.0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 ht="30.0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 ht="30.0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 ht="30.0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 ht="30.0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 ht="30.0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 ht="30.0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 ht="30.0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 ht="30.0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 ht="30.0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 ht="30.0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 ht="30.0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 ht="30.0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 ht="30.0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 ht="30.0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 ht="30.0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 ht="30.0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 ht="30.0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 ht="30.0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 ht="30.0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 ht="30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 ht="30.0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 ht="30.0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 ht="30.0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 ht="30.0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 ht="30.0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 ht="30.0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 ht="30.0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 ht="30.0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 ht="30.0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 ht="30.0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 ht="30.0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 ht="30.0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 ht="30.0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 ht="30.0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 ht="30.0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 ht="30.0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 ht="30.0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 ht="30.0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 ht="30.0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 ht="30.0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 ht="30.0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 ht="30.0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 ht="30.0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 ht="30.0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 ht="30.0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 ht="30.0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 ht="30.0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 ht="30.0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 ht="30.0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 ht="30.0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 ht="30.0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 ht="30.0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 ht="30.0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 ht="30.0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 ht="30.0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 ht="30.0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 ht="30.0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 ht="30.0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 ht="30.0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 ht="30.0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 ht="30.0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 ht="30.0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 ht="30.0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 ht="30.0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 ht="30.0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 ht="30.0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 ht="30.0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 ht="30.0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 ht="30.0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 ht="30.0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 ht="30.0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 ht="30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 ht="30.0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 ht="30.0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 ht="30.0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 ht="30.0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 ht="30.0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 ht="30.0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 ht="30.0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 ht="30.0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 ht="30.0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 ht="30.0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 ht="30.0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 ht="30.0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 ht="30.0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 ht="30.0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 ht="30.0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 ht="30.0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 ht="30.0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 ht="30.0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 ht="30.0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 ht="30.0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 ht="30.0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 ht="30.0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 ht="30.0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 ht="30.0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 ht="30.0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 ht="30.0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 ht="30.0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 ht="30.0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 ht="30.0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 ht="30.0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 ht="30.0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 ht="30.0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 ht="30.0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 ht="30.0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 ht="30.0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 ht="30.0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 ht="30.0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 ht="30.0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 ht="30.0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 ht="30.0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 ht="30.0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 ht="30.0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 ht="30.0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 ht="30.0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 ht="30.0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 ht="30.0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 ht="30.0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 ht="30.0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 ht="30.0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 ht="30.0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 ht="30.0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 ht="30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 ht="30.0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 ht="30.0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 ht="30.0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 ht="30.0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 ht="30.0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 ht="30.0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 ht="30.0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 ht="30.0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 ht="30.0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 ht="30.0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 ht="30.0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 ht="30.0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 ht="30.0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 ht="30.0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 ht="30.0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 ht="30.0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 ht="30.0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 ht="30.0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 ht="30.0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 ht="30.0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 ht="30.0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 ht="30.0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 ht="30.0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 ht="30.0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 ht="30.0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 ht="30.0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 ht="30.0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 ht="30.0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 ht="30.0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 ht="30.0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 ht="30.0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 ht="30.0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 ht="30.0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 ht="30.0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 ht="30.0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 ht="30.0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 ht="30.0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 ht="30.0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 ht="30.0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 ht="30.0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 ht="30.0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 ht="30.0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 ht="30.0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 ht="30.0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 ht="30.0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 ht="30.0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 ht="30.0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 ht="30.0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 ht="30.0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 ht="30.0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 ht="30.0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 ht="30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 ht="30.0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 ht="30.0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 ht="30.0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 ht="30.0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 ht="30.0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 ht="30.0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 ht="30.0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 ht="30.0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 ht="30.0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 ht="30.0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 ht="30.0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 ht="30.0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 ht="30.0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 ht="30.0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 ht="30.0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 ht="30.0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 ht="30.0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 ht="30.0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 ht="30.0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 ht="30.0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 ht="30.0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 ht="30.0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 ht="30.0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 ht="30.0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 ht="30.0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 ht="30.0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 ht="30.0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 ht="30.0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 ht="30.0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 ht="30.0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 ht="30.0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 ht="30.0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 ht="30.0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 ht="30.0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 ht="30.0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 ht="30.0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 ht="30.0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 ht="30.0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 ht="30.0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 ht="30.0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 ht="30.0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 ht="30.0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 ht="30.0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 ht="30.0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 ht="30.0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 ht="30.0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 ht="30.0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 ht="30.0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 ht="30.0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 ht="30.0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 ht="30.0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 ht="30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 ht="30.0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 ht="30.0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 ht="30.0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 ht="30.0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 ht="30.0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 ht="30.0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 ht="30.0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 ht="30.0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 ht="30.0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 ht="30.0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 ht="30.0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 ht="30.0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 ht="30.0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 ht="30.0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 ht="30.0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 ht="30.0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 ht="30.0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 ht="30.0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 ht="30.0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 ht="30.0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 ht="30.0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 ht="30.0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 ht="30.0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 ht="30.0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 ht="30.0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 ht="30.0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 ht="30.0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 ht="30.0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 ht="30.0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 ht="30.0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 ht="30.0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 ht="30.0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 ht="30.0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 ht="30.0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 ht="30.0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 ht="30.0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 ht="30.0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 ht="30.0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 ht="30.0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 ht="30.0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 ht="30.0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 ht="30.0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 ht="30.0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 ht="30.0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 ht="30.0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 ht="30.0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 ht="30.0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 ht="30.0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 ht="30.0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 ht="30.0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 ht="30.0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 ht="30.0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 ht="30.0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 ht="30.0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 ht="30.0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 ht="30.0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 ht="30.0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 ht="30.0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 ht="30.0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 ht="30.0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 ht="30.0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 ht="30.0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 ht="30.0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 ht="30.0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 ht="30.0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 ht="30.0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 ht="30.0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 ht="30.0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 ht="30.0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 ht="30.0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 ht="30.0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 ht="30.0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 ht="30.0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 ht="30.0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 ht="30.0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 ht="30.0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 ht="30.0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 ht="30.0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 ht="30.0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 ht="30.0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 ht="30.0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 ht="30.0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 ht="30.0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 ht="30.0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 ht="30.0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 ht="30.0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 ht="30.0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 ht="30.0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 ht="30.0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 ht="30.0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 ht="30.0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 ht="30.0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 ht="30.0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 ht="30.0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 ht="30.0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 ht="30.0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 ht="30.0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 ht="30.0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 ht="30.0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 ht="30.0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 ht="30.0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 ht="30.0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 ht="30.0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 ht="30.0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 ht="30.0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 ht="30.0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 ht="30.0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 ht="30.0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 ht="30.0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 ht="30.0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 ht="30.0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 ht="30.0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 ht="30.0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 ht="30.0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 ht="30.0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 ht="30.0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 ht="30.0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 ht="30.0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 ht="30.0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 ht="30.0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 ht="30.0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 ht="30.0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 ht="30.0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 ht="30.0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 ht="30.0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 ht="30.0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 ht="30.0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 ht="30.0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 ht="30.0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 ht="30.0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 ht="30.0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 ht="30.0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 ht="30.0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 ht="30.0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 ht="30.0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 ht="30.0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 ht="30.0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 ht="30.0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 ht="30.0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 ht="30.0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 ht="30.0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 ht="30.0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 ht="30.0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 ht="30.0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 ht="30.0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 ht="30.0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 ht="30.0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 ht="30.0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 ht="30.0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 ht="30.0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 ht="30.0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 ht="30.0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 ht="30.0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 ht="30.0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 ht="30.0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 ht="30.0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 ht="30.0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 ht="30.0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 ht="30.0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 ht="30.0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 ht="30.0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 ht="30.0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 ht="30.0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 ht="30.0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 ht="30.0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 ht="30.0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 ht="30.0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 ht="30.0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 ht="30.0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 ht="30.0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 ht="30.0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 ht="30.0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 ht="30.0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 ht="30.0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 ht="30.0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 ht="30.0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 ht="30.0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 ht="30.0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 ht="30.0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 ht="30.0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 ht="30.0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 ht="30.0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 ht="30.0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 ht="30.0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 ht="30.0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 ht="30.0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 ht="30.0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 ht="30.0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 ht="30.0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 ht="30.0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 ht="30.0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 ht="30.0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 ht="30.0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 ht="30.0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 ht="30.0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 ht="30.0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 ht="30.0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 ht="30.0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 ht="30.0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 ht="30.0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 ht="30.0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 ht="30.0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 ht="30.0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 ht="30.0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 ht="30.0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 ht="30.0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 ht="30.0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 ht="30.0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 ht="30.0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 ht="30.0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 ht="30.0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 ht="30.0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 ht="30.0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 ht="30.0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 ht="30.0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 ht="30.0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 ht="30.0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 ht="30.0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 ht="30.0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 ht="30.0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 ht="30.0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 ht="30.0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 ht="30.0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 ht="30.0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 ht="30.0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 ht="30.0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 ht="30.0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 ht="30.0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 ht="30.0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 ht="30.0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 ht="30.0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 ht="30.0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 ht="30.0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 ht="30.0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 ht="30.0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 ht="30.0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 ht="30.0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 ht="30.0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 ht="30.0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 ht="30.0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 ht="30.0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 ht="30.0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 ht="30.0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 ht="30.0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 ht="30.0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 ht="30.0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 ht="30.0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 ht="30.0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 ht="30.0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 ht="30.0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 ht="30.0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 ht="30.0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 ht="30.0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 ht="30.0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 ht="30.0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 ht="30.0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 ht="30.0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 ht="30.0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 ht="30.0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 ht="30.0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 ht="30.0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 ht="30.0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 ht="30.0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 ht="30.0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 ht="30.0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 ht="30.0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 ht="30.0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 ht="30.0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 ht="30.0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 ht="30.0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 ht="30.0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 ht="30.0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 ht="30.0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 ht="30.0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 ht="30.0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 ht="30.0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 ht="30.0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 ht="30.0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 ht="30.0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 ht="30.0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 ht="30.0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 ht="30.0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 ht="30.0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 ht="30.0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 ht="30.0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 ht="30.0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 ht="30.0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 ht="30.0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 ht="30.0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 ht="30.0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 ht="30.0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 ht="30.0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 ht="30.0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 ht="30.0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 ht="30.0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 ht="30.0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 ht="30.0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 ht="30.0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 ht="30.0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 ht="30.0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 ht="30.0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 ht="30.0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 ht="30.0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 ht="30.0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 ht="30.0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 ht="30.0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 ht="30.0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 ht="30.0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 ht="30.0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 ht="30.0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 ht="30.0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 ht="30.0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 ht="30.0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 ht="30.0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 ht="30.0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 ht="30.0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 ht="30.0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 ht="30.0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 ht="30.0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 ht="30.0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 ht="30.0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 ht="30.0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 ht="30.0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 ht="30.0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 ht="30.0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 ht="30.0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 ht="30.0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 ht="30.0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 ht="30.0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 ht="30.0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 ht="30.0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 ht="30.0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 ht="30.0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 ht="30.0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 ht="30.0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 ht="30.0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 ht="30.0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 ht="30.0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 ht="30.0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 ht="30.0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 ht="30.0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 ht="30.0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 ht="30.0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 ht="30.0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 ht="30.0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 ht="30.0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 ht="30.0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 ht="30.0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 ht="30.0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 ht="30.0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 ht="30.0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 ht="30.0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 ht="30.0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 ht="30.0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 ht="30.0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 ht="30.0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 ht="30.0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 ht="30.0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 ht="30.0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 ht="30.0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 ht="30.0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 ht="30.0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 ht="30.0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 ht="30.0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 ht="30.0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 ht="30.0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 ht="30.0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 ht="30.0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 ht="30.0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 ht="30.0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 ht="30.0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 ht="30.0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 ht="30.0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 ht="30.0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 ht="30.0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 ht="30.0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 ht="30.0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 ht="30.0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 ht="30.0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 ht="30.0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 ht="30.0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 ht="30.0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 ht="30.0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 ht="30.0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 ht="30.0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 ht="30.0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 ht="30.0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 ht="30.0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 ht="30.0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 ht="30.0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 ht="30.0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 ht="30.0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 ht="30.0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 ht="30.0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 ht="30.0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 ht="30.0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 ht="30.0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 ht="30.0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 ht="30.0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 ht="30.0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 ht="30.0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 ht="30.0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 ht="30.0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 ht="30.0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 ht="30.0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 ht="30.0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 ht="30.0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 ht="30.0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 ht="30.0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 ht="30.0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 ht="30.0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 ht="30.0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 ht="30.0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 ht="30.0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 ht="30.0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 ht="30.0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 ht="30.0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 ht="30.0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 ht="30.0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 ht="30.0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 ht="30.0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 ht="30.0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 ht="30.0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 ht="30.0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 ht="30.0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 ht="30.0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 ht="30.0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 ht="30.0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 ht="30.0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 ht="30.0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 ht="30.0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 ht="30.0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 ht="30.0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 ht="30.0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 ht="30.0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 ht="30.0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 ht="30.0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 ht="30.0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 ht="30.0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 ht="30.0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 ht="30.0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 ht="30.0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 ht="30.0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 ht="30.0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 ht="30.0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 ht="30.0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 ht="30.0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 ht="30.0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 ht="30.0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 ht="30.0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 ht="30.0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 ht="30.0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 ht="30.0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 ht="30.0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 ht="30.0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 ht="30.0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 ht="30.0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 ht="30.0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 ht="30.0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 ht="30.0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 ht="30.0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  <row r="994" ht="30.0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</row>
    <row r="995" ht="30.0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</row>
    <row r="996" ht="30.0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</row>
    <row r="997" ht="30.0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</row>
    <row r="998" ht="30.0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</row>
    <row r="999" ht="30.0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</row>
    <row r="1000" ht="30.0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</row>
    <row r="1001" ht="30.0" customHeight="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</row>
    <row r="1002" ht="30.0" customHeight="1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</row>
    <row r="1003" ht="30.0" customHeight="1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</row>
    <row r="1004" ht="30.0" customHeight="1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</row>
    <row r="1005" ht="30.0" customHeight="1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</row>
    <row r="1006" ht="30.0" customHeight="1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</row>
  </sheetData>
  <mergeCells count="36">
    <mergeCell ref="A1:E1"/>
    <mergeCell ref="A2:C2"/>
    <mergeCell ref="D2:E2"/>
    <mergeCell ref="A3:A4"/>
    <mergeCell ref="B3:B4"/>
    <mergeCell ref="D3:D4"/>
    <mergeCell ref="E3:E4"/>
    <mergeCell ref="C3:C4"/>
    <mergeCell ref="A15:C15"/>
    <mergeCell ref="D15:E15"/>
    <mergeCell ref="A16:A17"/>
    <mergeCell ref="B16:B17"/>
    <mergeCell ref="D16:D17"/>
    <mergeCell ref="E16:E17"/>
    <mergeCell ref="C16:C17"/>
    <mergeCell ref="A28:C28"/>
    <mergeCell ref="D28:E28"/>
    <mergeCell ref="A29:A30"/>
    <mergeCell ref="B29:B30"/>
    <mergeCell ref="D29:D30"/>
    <mergeCell ref="E29:E30"/>
    <mergeCell ref="C42:C43"/>
    <mergeCell ref="A54:C54"/>
    <mergeCell ref="D54:E54"/>
    <mergeCell ref="A55:A56"/>
    <mergeCell ref="B55:B56"/>
    <mergeCell ref="C55:C56"/>
    <mergeCell ref="D55:D56"/>
    <mergeCell ref="E55:E56"/>
    <mergeCell ref="C29:C30"/>
    <mergeCell ref="A41:C41"/>
    <mergeCell ref="D41:E41"/>
    <mergeCell ref="A42:A43"/>
    <mergeCell ref="B42:B43"/>
    <mergeCell ref="D42:D43"/>
    <mergeCell ref="E42:E43"/>
  </mergeCells>
  <printOptions/>
  <pageMargins bottom="0.06417373766183497" footer="0.0" header="0.0" left="0.25" right="0.25" top="0.1497387212109482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5.57"/>
    <col customWidth="1" min="2" max="2" width="21.0"/>
    <col customWidth="1" min="3" max="3" width="34.0"/>
    <col customWidth="1" min="4" max="4" width="41.57"/>
    <col customWidth="1" min="5" max="5" width="31.71"/>
    <col customWidth="1" min="6" max="25" width="10.71"/>
  </cols>
  <sheetData>
    <row r="1" ht="30.0" customHeight="1">
      <c r="A1" s="1" t="s">
        <v>53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30.0" customHeight="1">
      <c r="A2" s="6" t="s">
        <v>4</v>
      </c>
      <c r="B2" s="2"/>
      <c r="C2" s="2"/>
      <c r="D2" s="8">
        <f>'1º'!H1</f>
        <v>46293</v>
      </c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30.0" customHeight="1">
      <c r="A3" s="9" t="s">
        <v>5</v>
      </c>
      <c r="B3" s="10" t="s">
        <v>6</v>
      </c>
      <c r="C3" s="10" t="s">
        <v>7</v>
      </c>
      <c r="D3" s="10" t="s">
        <v>8</v>
      </c>
      <c r="E3" s="9" t="s">
        <v>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30.0" customHeight="1">
      <c r="A4" s="11"/>
      <c r="B4" s="11"/>
      <c r="C4" s="11"/>
      <c r="D4" s="11"/>
      <c r="E4" s="11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30.0" customHeight="1">
      <c r="A5" s="12" t="s">
        <v>49</v>
      </c>
      <c r="B5" s="13"/>
      <c r="C5" s="20"/>
      <c r="D5" s="20"/>
      <c r="E5" s="13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ht="30.0" customHeight="1">
      <c r="A6" s="12" t="s">
        <v>49</v>
      </c>
      <c r="B6" s="13"/>
      <c r="C6" s="20"/>
      <c r="D6" s="20"/>
      <c r="E6" s="13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ht="30.0" customHeight="1">
      <c r="A7" s="12" t="s">
        <v>10</v>
      </c>
      <c r="B7" s="13"/>
      <c r="C7" s="20"/>
      <c r="D7" s="20"/>
      <c r="E7" s="13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ht="30.0" customHeight="1">
      <c r="A8" s="12" t="s">
        <v>10</v>
      </c>
      <c r="B8" s="13"/>
      <c r="C8" s="20"/>
      <c r="D8" s="20"/>
      <c r="E8" s="13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ht="30.0" customHeight="1">
      <c r="A9" s="12" t="s">
        <v>18</v>
      </c>
      <c r="B9" s="13"/>
      <c r="C9" s="20"/>
      <c r="D9" s="20"/>
      <c r="E9" s="13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ht="30.0" customHeight="1">
      <c r="A10" s="12" t="s">
        <v>18</v>
      </c>
      <c r="B10" s="13"/>
      <c r="C10" s="20"/>
      <c r="D10" s="20"/>
      <c r="E10" s="13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ht="30.0" customHeight="1">
      <c r="A11" s="12" t="s">
        <v>23</v>
      </c>
      <c r="B11" s="13"/>
      <c r="C11" s="20"/>
      <c r="D11" s="20"/>
      <c r="E11" s="13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ht="30.0" customHeight="1">
      <c r="A12" s="12" t="s">
        <v>23</v>
      </c>
      <c r="B12" s="13"/>
      <c r="C12" s="20"/>
      <c r="D12" s="20"/>
      <c r="E12" s="13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ht="30.0" customHeight="1">
      <c r="A13" s="12" t="s">
        <v>19</v>
      </c>
      <c r="B13" s="13"/>
      <c r="C13" s="20"/>
      <c r="D13" s="20"/>
      <c r="E13" s="13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ht="30.0" customHeight="1">
      <c r="A14" s="12" t="s">
        <v>19</v>
      </c>
      <c r="B14" s="13"/>
      <c r="C14" s="20"/>
      <c r="D14" s="20"/>
      <c r="E14" s="13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ht="30.0" customHeight="1">
      <c r="A15" s="6" t="s">
        <v>54</v>
      </c>
      <c r="B15" s="2"/>
      <c r="C15" s="2"/>
      <c r="D15" s="8">
        <f>'1º'!H2</f>
        <v>46294</v>
      </c>
      <c r="E15" s="3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ht="30.0" customHeight="1">
      <c r="A16" s="9" t="s">
        <v>5</v>
      </c>
      <c r="B16" s="10" t="s">
        <v>6</v>
      </c>
      <c r="C16" s="10" t="s">
        <v>7</v>
      </c>
      <c r="D16" s="10" t="s">
        <v>8</v>
      </c>
      <c r="E16" s="9" t="s">
        <v>9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ht="30.0" customHeight="1">
      <c r="A17" s="11"/>
      <c r="B17" s="11"/>
      <c r="C17" s="11"/>
      <c r="D17" s="11"/>
      <c r="E17" s="11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ht="30.0" customHeight="1">
      <c r="A18" s="12" t="s">
        <v>55</v>
      </c>
      <c r="B18" s="13"/>
      <c r="C18" s="20"/>
      <c r="D18" s="20"/>
      <c r="E18" s="13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ht="30.0" customHeight="1">
      <c r="A19" s="12" t="s">
        <v>55</v>
      </c>
      <c r="B19" s="13"/>
      <c r="C19" s="20"/>
      <c r="D19" s="20"/>
      <c r="E19" s="13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ht="30.0" customHeight="1">
      <c r="A20" s="12" t="s">
        <v>56</v>
      </c>
      <c r="B20" s="13"/>
      <c r="C20" s="12"/>
      <c r="D20" s="20"/>
      <c r="E20" s="13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ht="30.0" customHeight="1">
      <c r="A21" s="12" t="s">
        <v>56</v>
      </c>
      <c r="B21" s="13"/>
      <c r="C21" s="12"/>
      <c r="D21" s="20"/>
      <c r="E21" s="13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ht="30.0" customHeight="1">
      <c r="A22" s="12" t="s">
        <v>15</v>
      </c>
      <c r="B22" s="13"/>
      <c r="C22" s="20"/>
      <c r="D22" s="20"/>
      <c r="E22" s="13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ht="30.0" customHeight="1">
      <c r="A23" s="12" t="s">
        <v>15</v>
      </c>
      <c r="B23" s="13"/>
      <c r="C23" s="20"/>
      <c r="D23" s="20"/>
      <c r="E23" s="13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ht="30.0" customHeight="1">
      <c r="A24" s="12" t="s">
        <v>32</v>
      </c>
      <c r="B24" s="13"/>
      <c r="C24" s="20"/>
      <c r="D24" s="20"/>
      <c r="E24" s="13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ht="30.0" customHeight="1">
      <c r="A25" s="12" t="s">
        <v>32</v>
      </c>
      <c r="B25" s="13"/>
      <c r="C25" s="20"/>
      <c r="D25" s="20"/>
      <c r="E25" s="13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ht="30.0" customHeight="1">
      <c r="A26" s="19" t="s">
        <v>26</v>
      </c>
      <c r="B26" s="13"/>
      <c r="C26" s="20"/>
      <c r="D26" s="20"/>
      <c r="E26" s="13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ht="30.0" customHeight="1">
      <c r="A27" s="19" t="s">
        <v>26</v>
      </c>
      <c r="B27" s="13"/>
      <c r="C27" s="20"/>
      <c r="D27" s="20"/>
      <c r="E27" s="13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ht="30.0" customHeight="1">
      <c r="A28" s="6" t="s">
        <v>27</v>
      </c>
      <c r="B28" s="2"/>
      <c r="C28" s="2"/>
      <c r="D28" s="8">
        <f>'1º'!H3</f>
        <v>46295</v>
      </c>
      <c r="E28" s="3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ht="30.0" customHeight="1">
      <c r="A29" s="9" t="s">
        <v>5</v>
      </c>
      <c r="B29" s="10" t="s">
        <v>6</v>
      </c>
      <c r="C29" s="10" t="s">
        <v>7</v>
      </c>
      <c r="D29" s="10" t="s">
        <v>8</v>
      </c>
      <c r="E29" s="9" t="s">
        <v>9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ht="30.0" customHeight="1">
      <c r="A30" s="11"/>
      <c r="B30" s="11"/>
      <c r="C30" s="11"/>
      <c r="D30" s="11"/>
      <c r="E30" s="11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ht="30.0" customHeight="1">
      <c r="A31" s="12" t="s">
        <v>32</v>
      </c>
      <c r="B31" s="13"/>
      <c r="C31" s="20"/>
      <c r="D31" s="20"/>
      <c r="E31" s="1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ht="30.0" customHeight="1">
      <c r="A32" s="12" t="s">
        <v>32</v>
      </c>
      <c r="B32" s="13"/>
      <c r="C32" s="20"/>
      <c r="D32" s="20"/>
      <c r="E32" s="13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ht="30.0" customHeight="1">
      <c r="A33" s="12" t="s">
        <v>49</v>
      </c>
      <c r="B33" s="13"/>
      <c r="C33" s="20"/>
      <c r="D33" s="20"/>
      <c r="E33" s="13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ht="30.0" customHeight="1">
      <c r="A34" s="12" t="s">
        <v>49</v>
      </c>
      <c r="B34" s="13"/>
      <c r="C34" s="20"/>
      <c r="D34" s="20"/>
      <c r="E34" s="13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ht="30.0" customHeight="1">
      <c r="A35" s="12" t="s">
        <v>23</v>
      </c>
      <c r="B35" s="12"/>
      <c r="C35" s="20"/>
      <c r="D35" s="20"/>
      <c r="E35" s="13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ht="30.0" customHeight="1">
      <c r="A36" s="12" t="s">
        <v>23</v>
      </c>
      <c r="B36" s="12"/>
      <c r="C36" s="20"/>
      <c r="D36" s="20"/>
      <c r="E36" s="13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ht="30.0" customHeight="1">
      <c r="A37" s="12" t="s">
        <v>15</v>
      </c>
      <c r="B37" s="13"/>
      <c r="C37" s="20"/>
      <c r="D37" s="20"/>
      <c r="E37" s="13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ht="30.0" customHeight="1">
      <c r="A38" s="12" t="s">
        <v>15</v>
      </c>
      <c r="B38" s="13"/>
      <c r="C38" s="20"/>
      <c r="D38" s="20"/>
      <c r="E38" s="13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ht="30.0" customHeight="1">
      <c r="A39" s="12" t="s">
        <v>19</v>
      </c>
      <c r="B39" s="13"/>
      <c r="C39" s="20"/>
      <c r="D39" s="20"/>
      <c r="E39" s="13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ht="30.0" customHeight="1">
      <c r="A40" s="12" t="s">
        <v>19</v>
      </c>
      <c r="B40" s="13"/>
      <c r="C40" s="20"/>
      <c r="D40" s="20"/>
      <c r="E40" s="13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ht="30.0" customHeight="1">
      <c r="A41" s="6" t="s">
        <v>38</v>
      </c>
      <c r="B41" s="2"/>
      <c r="C41" s="2"/>
      <c r="D41" s="8">
        <f>'1º'!H4</f>
        <v>46296</v>
      </c>
      <c r="E41" s="3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ht="30.0" customHeight="1">
      <c r="A42" s="9" t="s">
        <v>5</v>
      </c>
      <c r="B42" s="10" t="s">
        <v>6</v>
      </c>
      <c r="C42" s="10" t="s">
        <v>7</v>
      </c>
      <c r="D42" s="10" t="s">
        <v>8</v>
      </c>
      <c r="E42" s="9" t="s">
        <v>9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ht="30.0" customHeight="1">
      <c r="A43" s="11"/>
      <c r="B43" s="11"/>
      <c r="C43" s="11"/>
      <c r="D43" s="11"/>
      <c r="E43" s="11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ht="30.0" customHeight="1">
      <c r="A44" s="12" t="s">
        <v>55</v>
      </c>
      <c r="B44" s="13"/>
      <c r="C44" s="20"/>
      <c r="D44" s="20"/>
      <c r="E44" s="13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ht="30.0" customHeight="1">
      <c r="A45" s="12" t="s">
        <v>56</v>
      </c>
      <c r="B45" s="13"/>
      <c r="C45" s="20"/>
      <c r="D45" s="20"/>
      <c r="E45" s="13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ht="30.0" customHeight="1">
      <c r="A46" s="12" t="s">
        <v>10</v>
      </c>
      <c r="B46" s="13"/>
      <c r="C46" s="20"/>
      <c r="D46" s="20"/>
      <c r="E46" s="13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ht="30.0" customHeight="1">
      <c r="A47" s="12" t="s">
        <v>10</v>
      </c>
      <c r="B47" s="13"/>
      <c r="C47" s="20"/>
      <c r="D47" s="20"/>
      <c r="E47" s="13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ht="30.0" customHeight="1">
      <c r="A48" s="12" t="s">
        <v>37</v>
      </c>
      <c r="B48" s="13"/>
      <c r="C48" s="20"/>
      <c r="D48" s="20"/>
      <c r="E48" s="13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ht="30.0" customHeight="1">
      <c r="A49" s="12" t="s">
        <v>37</v>
      </c>
      <c r="B49" s="13"/>
      <c r="C49" s="20"/>
      <c r="D49" s="20"/>
      <c r="E49" s="13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ht="30.0" customHeight="1">
      <c r="A50" s="12" t="s">
        <v>63</v>
      </c>
      <c r="B50" s="13"/>
      <c r="C50" s="20"/>
      <c r="D50" s="20"/>
      <c r="E50" s="13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ht="30.0" customHeight="1">
      <c r="A51" s="12" t="s">
        <v>63</v>
      </c>
      <c r="B51" s="13"/>
      <c r="C51" s="20"/>
      <c r="D51" s="20"/>
      <c r="E51" s="13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 ht="30.0" customHeight="1">
      <c r="A52" s="6" t="s">
        <v>42</v>
      </c>
      <c r="B52" s="2"/>
      <c r="C52" s="2"/>
      <c r="D52" s="8">
        <f>'1º'!H5</f>
        <v>46297</v>
      </c>
      <c r="E52" s="3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ht="30.0" customHeight="1">
      <c r="A53" s="9" t="s">
        <v>5</v>
      </c>
      <c r="B53" s="10" t="s">
        <v>6</v>
      </c>
      <c r="C53" s="10" t="s">
        <v>7</v>
      </c>
      <c r="D53" s="10" t="s">
        <v>8</v>
      </c>
      <c r="E53" s="9" t="s">
        <v>9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 ht="30.0" customHeight="1">
      <c r="A54" s="11"/>
      <c r="B54" s="11"/>
      <c r="C54" s="11"/>
      <c r="D54" s="11"/>
      <c r="E54" s="11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ht="30.0" customHeight="1">
      <c r="A55" s="12" t="s">
        <v>33</v>
      </c>
      <c r="B55" s="13"/>
      <c r="C55" s="20"/>
      <c r="D55" s="20"/>
      <c r="E55" s="13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ht="30.0" customHeight="1">
      <c r="A56" s="12" t="s">
        <v>33</v>
      </c>
      <c r="B56" s="13"/>
      <c r="C56" s="20"/>
      <c r="D56" s="20"/>
      <c r="E56" s="13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ht="30.0" customHeight="1">
      <c r="A57" s="12" t="s">
        <v>69</v>
      </c>
      <c r="B57" s="13"/>
      <c r="C57" s="12"/>
      <c r="D57" s="20"/>
      <c r="E57" s="13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ht="30.0" customHeight="1">
      <c r="A58" s="12" t="s">
        <v>69</v>
      </c>
      <c r="B58" s="13"/>
      <c r="C58" s="12"/>
      <c r="D58" s="20"/>
      <c r="E58" s="13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ht="30.0" customHeight="1">
      <c r="A59" s="12" t="s">
        <v>44</v>
      </c>
      <c r="B59" s="13"/>
      <c r="C59" s="20"/>
      <c r="D59" s="20"/>
      <c r="E59" s="13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ht="30.0" customHeight="1">
      <c r="A60" s="12" t="s">
        <v>44</v>
      </c>
      <c r="B60" s="13"/>
      <c r="C60" s="20"/>
      <c r="D60" s="20"/>
      <c r="E60" s="13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ht="30.0" customHeight="1">
      <c r="A61" s="19" t="s">
        <v>26</v>
      </c>
      <c r="B61" s="13"/>
      <c r="C61" s="20"/>
      <c r="D61" s="20"/>
      <c r="E61" s="13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ht="30.0" customHeight="1">
      <c r="A62" s="19" t="s">
        <v>26</v>
      </c>
      <c r="B62" s="14"/>
      <c r="C62" s="14"/>
      <c r="D62" s="14"/>
      <c r="E62" s="14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ht="30.0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ht="30.0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ht="30.0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ht="30.0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ht="30.0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ht="30.0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ht="30.0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ht="30.0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 ht="30.0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 ht="30.0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ht="30.0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 ht="30.0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ht="30.0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ht="30.0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ht="30.0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ht="30.0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ht="30.0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ht="30.0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ht="30.0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ht="30.0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ht="30.0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ht="30.0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ht="30.0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ht="30.0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ht="30.0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ht="30.0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ht="30.0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ht="30.0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ht="30.0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ht="30.0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ht="30.0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ht="30.0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ht="30.0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ht="30.0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ht="30.0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ht="30.0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ht="30.0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ht="30.0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ht="30.0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ht="30.0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ht="30.0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ht="30.0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ht="30.0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ht="30.0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ht="30.0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ht="30.0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ht="30.0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ht="30.0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ht="30.0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ht="30.0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ht="30.0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ht="30.0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ht="30.0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ht="30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ht="30.0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ht="30.0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ht="30.0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ht="30.0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ht="30.0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 ht="30.0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ht="30.0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ht="30.0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ht="30.0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ht="30.0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ht="30.0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ht="30.0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ht="30.0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ht="30.0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ht="30.0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ht="30.0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ht="30.0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ht="30.0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ht="30.0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ht="30.0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ht="30.0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ht="30.0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ht="30.0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ht="30.0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ht="30.0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ht="30.0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ht="30.0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ht="30.0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ht="30.0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ht="30.0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ht="30.0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ht="30.0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ht="30.0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ht="30.0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ht="30.0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ht="30.0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ht="30.0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ht="30.0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ht="30.0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ht="30.0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ht="30.0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ht="30.0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ht="30.0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ht="30.0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ht="30.0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ht="30.0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ht="30.0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ht="30.0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ht="30.0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ht="30.0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ht="30.0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ht="30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ht="30.0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ht="30.0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ht="30.0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ht="30.0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ht="30.0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ht="30.0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ht="30.0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ht="30.0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 ht="30.0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ht="30.0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ht="30.0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ht="30.0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ht="30.0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 ht="30.0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ht="30.0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ht="30.0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 ht="30.0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 ht="30.0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ht="30.0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 ht="30.0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ht="30.0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ht="30.0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 ht="30.0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ht="30.0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 ht="30.0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ht="30.0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ht="30.0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 ht="30.0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 ht="30.0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 ht="30.0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 ht="30.0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ht="30.0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 ht="30.0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 ht="30.0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 ht="30.0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 ht="30.0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 ht="30.0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 ht="30.0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 ht="30.0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 ht="30.0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 ht="30.0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 ht="30.0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 ht="30.0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 ht="30.0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 ht="30.0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 ht="30.0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 ht="30.0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 ht="30.0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 ht="30.0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 ht="30.0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 ht="30.0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 ht="30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 ht="30.0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 ht="30.0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 ht="30.0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 ht="30.0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 ht="30.0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 ht="30.0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 ht="30.0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 ht="30.0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 ht="30.0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 ht="30.0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 ht="30.0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 ht="30.0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 ht="30.0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 ht="30.0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 ht="30.0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 ht="30.0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 ht="30.0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 ht="30.0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 ht="30.0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 ht="30.0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 ht="30.0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 ht="30.0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 ht="30.0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 ht="30.0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 ht="30.0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 ht="30.0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 ht="30.0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 ht="30.0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 ht="30.0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 ht="30.0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 ht="30.0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 ht="30.0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 ht="30.0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 ht="30.0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 ht="30.0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 ht="30.0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 ht="30.0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 ht="30.0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 ht="30.0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 ht="30.0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 ht="30.0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 ht="30.0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 ht="30.0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 ht="30.0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 ht="30.0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 ht="30.0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 ht="30.0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 ht="30.0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 ht="30.0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 ht="30.0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 ht="30.0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 ht="30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 ht="30.0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 ht="30.0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 ht="30.0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 ht="30.0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 ht="30.0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 ht="30.0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 ht="30.0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 ht="30.0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 ht="30.0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 ht="30.0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 ht="30.0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 ht="30.0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 ht="30.0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 ht="30.0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 ht="30.0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 ht="30.0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 ht="30.0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 ht="30.0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 ht="30.0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 ht="30.0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 ht="30.0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 ht="30.0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 ht="30.0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 ht="30.0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 ht="30.0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 ht="30.0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 ht="30.0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 ht="30.0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 ht="30.0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 ht="30.0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 ht="30.0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 ht="30.0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 ht="30.0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 ht="30.0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 ht="30.0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 ht="30.0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 ht="30.0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 ht="30.0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 ht="30.0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 ht="30.0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 ht="30.0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 ht="30.0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 ht="30.0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 ht="30.0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 ht="30.0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 ht="30.0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 ht="30.0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 ht="30.0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 ht="30.0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 ht="30.0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 ht="30.0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 ht="30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 ht="30.0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 ht="30.0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 ht="30.0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 ht="30.0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 ht="30.0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 ht="30.0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 ht="30.0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 ht="30.0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 ht="30.0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 ht="30.0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 ht="30.0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 ht="30.0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 ht="30.0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 ht="30.0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 ht="30.0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 ht="30.0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 ht="30.0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 ht="30.0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 ht="30.0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 ht="30.0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 ht="30.0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 ht="30.0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 ht="30.0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 ht="30.0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 ht="30.0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 ht="30.0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 ht="30.0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 ht="30.0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 ht="30.0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 ht="30.0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 ht="30.0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 ht="30.0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 ht="30.0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 ht="30.0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 ht="30.0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 ht="30.0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 ht="30.0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 ht="30.0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 ht="30.0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 ht="30.0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 ht="30.0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 ht="30.0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 ht="30.0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 ht="30.0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 ht="30.0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 ht="30.0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 ht="30.0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 ht="30.0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 ht="30.0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 ht="30.0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 ht="30.0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 ht="30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 ht="30.0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 ht="30.0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 ht="30.0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 ht="30.0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 ht="30.0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 ht="30.0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 ht="30.0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 ht="30.0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 ht="30.0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 ht="30.0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 ht="30.0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 ht="30.0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 ht="30.0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 ht="30.0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 ht="30.0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 ht="30.0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 ht="30.0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 ht="30.0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 ht="30.0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 ht="30.0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 ht="30.0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 ht="30.0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 ht="30.0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 ht="30.0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 ht="30.0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 ht="30.0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 ht="30.0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 ht="30.0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 ht="30.0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 ht="30.0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 ht="30.0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 ht="30.0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 ht="30.0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 ht="30.0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 ht="30.0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 ht="30.0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 ht="30.0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 ht="30.0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 ht="30.0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 ht="30.0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 ht="30.0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 ht="30.0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 ht="30.0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 ht="30.0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 ht="30.0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 ht="30.0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 ht="30.0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 ht="30.0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 ht="30.0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 ht="30.0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 ht="30.0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 ht="30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 ht="30.0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 ht="30.0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 ht="30.0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 ht="30.0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 ht="30.0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 ht="30.0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 ht="30.0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 ht="30.0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 ht="30.0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 ht="30.0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 ht="30.0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 ht="30.0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 ht="30.0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 ht="30.0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 ht="30.0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 ht="30.0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 ht="30.0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 ht="30.0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 ht="30.0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 ht="30.0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 ht="30.0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 ht="30.0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 ht="30.0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 ht="30.0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 ht="30.0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 ht="30.0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 ht="30.0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 ht="30.0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 ht="30.0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 ht="30.0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 ht="30.0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 ht="30.0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 ht="30.0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 ht="30.0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 ht="30.0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 ht="30.0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 ht="30.0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 ht="30.0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 ht="30.0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 ht="30.0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 ht="30.0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 ht="30.0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 ht="30.0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 ht="30.0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 ht="30.0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 ht="30.0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 ht="30.0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 ht="30.0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 ht="30.0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 ht="30.0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 ht="30.0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 ht="30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 ht="30.0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 ht="30.0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 ht="30.0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 ht="30.0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 ht="30.0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 ht="30.0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 ht="30.0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 ht="30.0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 ht="30.0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 ht="30.0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 ht="30.0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 ht="30.0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 ht="30.0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 ht="30.0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 ht="30.0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 ht="30.0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 ht="30.0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 ht="30.0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 ht="30.0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 ht="30.0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 ht="30.0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 ht="30.0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 ht="30.0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 ht="30.0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 ht="30.0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 ht="30.0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 ht="30.0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 ht="30.0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 ht="30.0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 ht="30.0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 ht="30.0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 ht="30.0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 ht="30.0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 ht="30.0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 ht="30.0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 ht="30.0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 ht="30.0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 ht="30.0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 ht="30.0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 ht="30.0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 ht="30.0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 ht="30.0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 ht="30.0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 ht="30.0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 ht="30.0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 ht="30.0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 ht="30.0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 ht="30.0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 ht="30.0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 ht="30.0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 ht="30.0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 ht="30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 ht="30.0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 ht="30.0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 ht="30.0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 ht="30.0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 ht="30.0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 ht="30.0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 ht="30.0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 ht="30.0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 ht="30.0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 ht="30.0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 ht="30.0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 ht="30.0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 ht="30.0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 ht="30.0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 ht="30.0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 ht="30.0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 ht="30.0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 ht="30.0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 ht="30.0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 ht="30.0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 ht="30.0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 ht="30.0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 ht="30.0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 ht="30.0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 ht="30.0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 ht="30.0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 ht="30.0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 ht="30.0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 ht="30.0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 ht="30.0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 ht="30.0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 ht="30.0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 ht="30.0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 ht="30.0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 ht="30.0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 ht="30.0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 ht="30.0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 ht="30.0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 ht="30.0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 ht="30.0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 ht="30.0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 ht="30.0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 ht="30.0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 ht="30.0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 ht="30.0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 ht="30.0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 ht="30.0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 ht="30.0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 ht="30.0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 ht="30.0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 ht="30.0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 ht="30.0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 ht="30.0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 ht="30.0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 ht="30.0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 ht="30.0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 ht="30.0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 ht="30.0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 ht="30.0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 ht="30.0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 ht="30.0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 ht="30.0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 ht="30.0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 ht="30.0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 ht="30.0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 ht="30.0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 ht="30.0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 ht="30.0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 ht="30.0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 ht="30.0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 ht="30.0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 ht="30.0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 ht="30.0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 ht="30.0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 ht="30.0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 ht="30.0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 ht="30.0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 ht="30.0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 ht="30.0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 ht="30.0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 ht="30.0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 ht="30.0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 ht="30.0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 ht="30.0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 ht="30.0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 ht="30.0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 ht="30.0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 ht="30.0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 ht="30.0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 ht="30.0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 ht="30.0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 ht="30.0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 ht="30.0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 ht="30.0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 ht="30.0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 ht="30.0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 ht="30.0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 ht="30.0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 ht="30.0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 ht="30.0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 ht="30.0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 ht="30.0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 ht="30.0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 ht="30.0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 ht="30.0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 ht="30.0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 ht="30.0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 ht="30.0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 ht="30.0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 ht="30.0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 ht="30.0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 ht="30.0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 ht="30.0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 ht="30.0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 ht="30.0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 ht="30.0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 ht="30.0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 ht="30.0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 ht="30.0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 ht="30.0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 ht="30.0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 ht="30.0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 ht="30.0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 ht="30.0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 ht="30.0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 ht="30.0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 ht="30.0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 ht="30.0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 ht="30.0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 ht="30.0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 ht="30.0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 ht="30.0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 ht="30.0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 ht="30.0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 ht="30.0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 ht="30.0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 ht="30.0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 ht="30.0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 ht="30.0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 ht="30.0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 ht="30.0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 ht="30.0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 ht="30.0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 ht="30.0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 ht="30.0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 ht="30.0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 ht="30.0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 ht="30.0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 ht="30.0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 ht="30.0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 ht="30.0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 ht="30.0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 ht="30.0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 ht="30.0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 ht="30.0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 ht="30.0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 ht="30.0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 ht="30.0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 ht="30.0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 ht="30.0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 ht="30.0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 ht="30.0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 ht="30.0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 ht="30.0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 ht="30.0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 ht="30.0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 ht="30.0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 ht="30.0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 ht="30.0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 ht="30.0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 ht="30.0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 ht="30.0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 ht="30.0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 ht="30.0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 ht="30.0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 ht="30.0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 ht="30.0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 ht="30.0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 ht="30.0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 ht="30.0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 ht="30.0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 ht="30.0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 ht="30.0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 ht="30.0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 ht="30.0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 ht="30.0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 ht="30.0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 ht="30.0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 ht="30.0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 ht="30.0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 ht="30.0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 ht="30.0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 ht="30.0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 ht="30.0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 ht="30.0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 ht="30.0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 ht="30.0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 ht="30.0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 ht="30.0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 ht="30.0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 ht="30.0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 ht="30.0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 ht="30.0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 ht="30.0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 ht="30.0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 ht="30.0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 ht="30.0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 ht="30.0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 ht="30.0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 ht="30.0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 ht="30.0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 ht="30.0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 ht="30.0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 ht="30.0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 ht="30.0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 ht="30.0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 ht="30.0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 ht="30.0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 ht="30.0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 ht="30.0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 ht="30.0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 ht="30.0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 ht="30.0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 ht="30.0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 ht="30.0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 ht="30.0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 ht="30.0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 ht="30.0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 ht="30.0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 ht="30.0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 ht="30.0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 ht="30.0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 ht="30.0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 ht="30.0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 ht="30.0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 ht="30.0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 ht="30.0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 ht="30.0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 ht="30.0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 ht="30.0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 ht="30.0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 ht="30.0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 ht="30.0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 ht="30.0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 ht="30.0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 ht="30.0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 ht="30.0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 ht="30.0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 ht="30.0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 ht="30.0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 ht="30.0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 ht="30.0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 ht="30.0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 ht="30.0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 ht="30.0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 ht="30.0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 ht="30.0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 ht="30.0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 ht="30.0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 ht="30.0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 ht="30.0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 ht="30.0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 ht="30.0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 ht="30.0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 ht="30.0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 ht="30.0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 ht="30.0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 ht="30.0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 ht="30.0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 ht="30.0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 ht="30.0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 ht="30.0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 ht="30.0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 ht="30.0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 ht="30.0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 ht="30.0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 ht="30.0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 ht="30.0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 ht="30.0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 ht="30.0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 ht="30.0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 ht="30.0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 ht="30.0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 ht="30.0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 ht="30.0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 ht="30.0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 ht="30.0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 ht="30.0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 ht="30.0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 ht="30.0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 ht="30.0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 ht="30.0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 ht="30.0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 ht="30.0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 ht="30.0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 ht="30.0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 ht="30.0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 ht="30.0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 ht="30.0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 ht="30.0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 ht="30.0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 ht="30.0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 ht="30.0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 ht="30.0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 ht="30.0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 ht="30.0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 ht="30.0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 ht="30.0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 ht="30.0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 ht="30.0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 ht="30.0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 ht="30.0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 ht="30.0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 ht="30.0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 ht="30.0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 ht="30.0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 ht="30.0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 ht="30.0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 ht="30.0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 ht="30.0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 ht="30.0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 ht="30.0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 ht="30.0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 ht="30.0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 ht="30.0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 ht="30.0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 ht="30.0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 ht="30.0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 ht="30.0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 ht="30.0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 ht="30.0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 ht="30.0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 ht="30.0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 ht="30.0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 ht="30.0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 ht="30.0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 ht="30.0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 ht="30.0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 ht="30.0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 ht="30.0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 ht="30.0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 ht="30.0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 ht="30.0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 ht="30.0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 ht="30.0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 ht="30.0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 ht="30.0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 ht="30.0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 ht="30.0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 ht="30.0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 ht="30.0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 ht="30.0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 ht="30.0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 ht="30.0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 ht="30.0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 ht="30.0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 ht="30.0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 ht="30.0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 ht="30.0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 ht="30.0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 ht="30.0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 ht="30.0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 ht="30.0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 ht="30.0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 ht="30.0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 ht="30.0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 ht="30.0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 ht="30.0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 ht="30.0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 ht="30.0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 ht="30.0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 ht="30.0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 ht="30.0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 ht="30.0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 ht="30.0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 ht="30.0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 ht="30.0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 ht="30.0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 ht="30.0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 ht="30.0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 ht="30.0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 ht="30.0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 ht="30.0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 ht="30.0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 ht="30.0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 ht="30.0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 ht="30.0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 ht="30.0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 ht="30.0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 ht="30.0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 ht="30.0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 ht="30.0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 ht="30.0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 ht="30.0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 ht="30.0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 ht="30.0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 ht="30.0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 ht="30.0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 ht="30.0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 ht="30.0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 ht="30.0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 ht="30.0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 ht="30.0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 ht="30.0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 ht="30.0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 ht="30.0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 ht="30.0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 ht="30.0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 ht="30.0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 ht="30.0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 ht="30.0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 ht="30.0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 ht="30.0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 ht="30.0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 ht="30.0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 ht="30.0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 ht="30.0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 ht="30.0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 ht="30.0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 ht="30.0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 ht="30.0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 ht="30.0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 ht="30.0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 ht="30.0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 ht="30.0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 ht="30.0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 ht="30.0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 ht="30.0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 ht="30.0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 ht="30.0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 ht="30.0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 ht="30.0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 ht="30.0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 ht="30.0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 ht="30.0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 ht="30.0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 ht="30.0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 ht="30.0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 ht="30.0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 ht="30.0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 ht="30.0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 ht="30.0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 ht="30.0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 ht="30.0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 ht="30.0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 ht="30.0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 ht="30.0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 ht="30.0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 ht="30.0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 ht="30.0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 ht="30.0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 ht="30.0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 ht="30.0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 ht="30.0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 ht="30.0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 ht="30.0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 ht="30.0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 ht="30.0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 ht="30.0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 ht="30.0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 ht="30.0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  <row r="994" ht="30.0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</row>
    <row r="995" ht="30.0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</row>
    <row r="996" ht="30.0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</row>
    <row r="997" ht="30.0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</row>
    <row r="998" ht="30.0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</row>
    <row r="999" ht="30.0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</row>
    <row r="1000" ht="30.0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</row>
    <row r="1001" ht="30.0" customHeight="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</row>
    <row r="1002" ht="30.0" customHeight="1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</row>
    <row r="1003" ht="30.0" customHeight="1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</row>
    <row r="1004" ht="30.0" customHeight="1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</row>
    <row r="1005" ht="30.0" customHeight="1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</row>
    <row r="1006" ht="30.0" customHeight="1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</row>
    <row r="1007" ht="30.0" customHeight="1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</row>
    <row r="1008" ht="30.0" customHeight="1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</row>
  </sheetData>
  <mergeCells count="36">
    <mergeCell ref="A1:E1"/>
    <mergeCell ref="A2:C2"/>
    <mergeCell ref="D2:E2"/>
    <mergeCell ref="A3:A4"/>
    <mergeCell ref="B3:B4"/>
    <mergeCell ref="D3:D4"/>
    <mergeCell ref="E3:E4"/>
    <mergeCell ref="C3:C4"/>
    <mergeCell ref="A15:C15"/>
    <mergeCell ref="D15:E15"/>
    <mergeCell ref="A16:A17"/>
    <mergeCell ref="B16:B17"/>
    <mergeCell ref="D16:D17"/>
    <mergeCell ref="E16:E17"/>
    <mergeCell ref="C16:C17"/>
    <mergeCell ref="A28:C28"/>
    <mergeCell ref="D28:E28"/>
    <mergeCell ref="A29:A30"/>
    <mergeCell ref="B29:B30"/>
    <mergeCell ref="D29:D30"/>
    <mergeCell ref="E29:E30"/>
    <mergeCell ref="C42:C43"/>
    <mergeCell ref="A52:C52"/>
    <mergeCell ref="D52:E52"/>
    <mergeCell ref="A53:A54"/>
    <mergeCell ref="B53:B54"/>
    <mergeCell ref="C53:C54"/>
    <mergeCell ref="D53:D54"/>
    <mergeCell ref="E53:E54"/>
    <mergeCell ref="C29:C30"/>
    <mergeCell ref="A41:C41"/>
    <mergeCell ref="D41:E41"/>
    <mergeCell ref="A42:A43"/>
    <mergeCell ref="B42:B43"/>
    <mergeCell ref="D42:D43"/>
    <mergeCell ref="E42:E43"/>
  </mergeCells>
  <printOptions/>
  <pageMargins bottom="0.3101730653655357" footer="0.0" header="0.0" left="0.25" right="0.25" top="0.20321683592914408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1" t="s">
        <v>57</v>
      </c>
      <c r="B1" s="2"/>
      <c r="C1" s="3"/>
    </row>
    <row r="2">
      <c r="A2" s="22" t="s">
        <v>58</v>
      </c>
      <c r="B2" s="3"/>
      <c r="C2" s="23" t="s">
        <v>59</v>
      </c>
    </row>
    <row r="3">
      <c r="A3" s="23" t="s">
        <v>60</v>
      </c>
      <c r="B3" s="24">
        <v>46090.0</v>
      </c>
      <c r="C3" s="23">
        <v>3.0</v>
      </c>
      <c r="E3" s="25"/>
      <c r="F3" s="25"/>
    </row>
    <row r="4">
      <c r="A4" s="26" t="s">
        <v>61</v>
      </c>
      <c r="B4" s="24">
        <v>46091.0</v>
      </c>
      <c r="C4" s="26">
        <v>2.0</v>
      </c>
    </row>
    <row r="5">
      <c r="A5" s="26" t="s">
        <v>62</v>
      </c>
      <c r="B5" s="24">
        <v>46092.0</v>
      </c>
      <c r="C5" s="26">
        <v>0.0</v>
      </c>
    </row>
    <row r="6">
      <c r="A6" s="26" t="s">
        <v>64</v>
      </c>
      <c r="B6" s="24">
        <v>46093.0</v>
      </c>
      <c r="C6" s="26">
        <v>2.0</v>
      </c>
    </row>
    <row r="7">
      <c r="A7" s="26" t="s">
        <v>65</v>
      </c>
      <c r="B7" s="24">
        <v>46094.0</v>
      </c>
      <c r="C7" s="26">
        <v>2.0</v>
      </c>
    </row>
    <row r="8">
      <c r="A8" s="23" t="s">
        <v>60</v>
      </c>
      <c r="B8" s="24">
        <v>45732.0</v>
      </c>
      <c r="C8" s="26">
        <v>0.0</v>
      </c>
      <c r="H8" s="27">
        <v>19.0</v>
      </c>
      <c r="I8" s="27">
        <v>166000.0</v>
      </c>
    </row>
    <row r="9">
      <c r="A9" s="26" t="s">
        <v>61</v>
      </c>
      <c r="B9" s="24">
        <v>45733.0</v>
      </c>
      <c r="C9" s="26">
        <v>0.0</v>
      </c>
      <c r="H9" s="27">
        <v>35.0</v>
      </c>
    </row>
    <row r="10">
      <c r="A10" s="26" t="s">
        <v>62</v>
      </c>
      <c r="B10" s="24">
        <v>45734.0</v>
      </c>
      <c r="C10" s="26">
        <v>3.0</v>
      </c>
    </row>
    <row r="11">
      <c r="A11" s="26" t="s">
        <v>64</v>
      </c>
      <c r="B11" s="24">
        <v>45735.0</v>
      </c>
      <c r="C11" s="26">
        <v>2.0</v>
      </c>
    </row>
    <row r="12">
      <c r="A12" s="26" t="s">
        <v>65</v>
      </c>
      <c r="B12" s="24">
        <v>45736.0</v>
      </c>
      <c r="C12" s="26">
        <v>0.0</v>
      </c>
      <c r="H12" s="28">
        <f>(H9*I8)/H8</f>
        <v>305789.4737</v>
      </c>
    </row>
    <row r="13">
      <c r="A13" s="23" t="s">
        <v>60</v>
      </c>
      <c r="B13" s="24">
        <v>45739.0</v>
      </c>
      <c r="C13" s="26">
        <v>0.0</v>
      </c>
    </row>
    <row r="14">
      <c r="A14" s="26" t="s">
        <v>62</v>
      </c>
      <c r="B14" s="24">
        <v>45741.0</v>
      </c>
      <c r="C14" s="26">
        <v>3.0</v>
      </c>
      <c r="D14" s="27" t="s">
        <v>66</v>
      </c>
    </row>
    <row r="15">
      <c r="A15" s="26" t="s">
        <v>64</v>
      </c>
      <c r="B15" s="24">
        <v>46107.0</v>
      </c>
      <c r="C15" s="26">
        <v>0.0</v>
      </c>
    </row>
    <row r="16">
      <c r="A16" s="26" t="s">
        <v>65</v>
      </c>
      <c r="B16" s="24">
        <v>46108.0</v>
      </c>
      <c r="C16" s="26">
        <v>0.0</v>
      </c>
    </row>
    <row r="17">
      <c r="A17" s="26" t="s">
        <v>60</v>
      </c>
      <c r="B17" s="24">
        <v>46111.0</v>
      </c>
      <c r="C17" s="26">
        <v>0.0</v>
      </c>
    </row>
    <row r="18">
      <c r="A18" s="26" t="s">
        <v>61</v>
      </c>
      <c r="B18" s="24">
        <v>46112.0</v>
      </c>
      <c r="C18" s="26">
        <v>2.0</v>
      </c>
    </row>
    <row r="19">
      <c r="A19" s="29" t="s">
        <v>67</v>
      </c>
      <c r="B19" s="3"/>
      <c r="C19" s="30">
        <f>SUM(C3:C18)</f>
        <v>19</v>
      </c>
    </row>
    <row r="22">
      <c r="A22" s="21" t="s">
        <v>68</v>
      </c>
      <c r="B22" s="2"/>
      <c r="C22" s="3"/>
    </row>
    <row r="23">
      <c r="A23" s="22" t="s">
        <v>58</v>
      </c>
      <c r="B23" s="3"/>
      <c r="C23" s="23" t="s">
        <v>59</v>
      </c>
    </row>
    <row r="24">
      <c r="A24" s="23" t="s">
        <v>60</v>
      </c>
      <c r="B24" s="24">
        <v>46113.0</v>
      </c>
      <c r="C24" s="26">
        <v>3.0</v>
      </c>
    </row>
    <row r="25">
      <c r="A25" s="23" t="s">
        <v>60</v>
      </c>
      <c r="B25" s="24">
        <v>45753.0</v>
      </c>
      <c r="C25" s="26">
        <v>0.0</v>
      </c>
    </row>
    <row r="26">
      <c r="A26" s="26" t="s">
        <v>61</v>
      </c>
      <c r="B26" s="24">
        <v>45754.0</v>
      </c>
      <c r="C26" s="26">
        <v>0.0</v>
      </c>
    </row>
    <row r="27">
      <c r="A27" s="26" t="s">
        <v>62</v>
      </c>
      <c r="B27" s="24">
        <v>45755.0</v>
      </c>
      <c r="C27" s="26">
        <v>3.0</v>
      </c>
      <c r="H27" s="27">
        <v>19.0</v>
      </c>
      <c r="I27" s="27">
        <v>166000.0</v>
      </c>
    </row>
    <row r="28">
      <c r="A28" s="26" t="s">
        <v>64</v>
      </c>
      <c r="B28" s="24">
        <v>45756.0</v>
      </c>
      <c r="C28" s="26">
        <v>2.0</v>
      </c>
      <c r="H28" s="27">
        <v>40.0</v>
      </c>
    </row>
    <row r="29">
      <c r="A29" s="26" t="s">
        <v>65</v>
      </c>
      <c r="B29" s="24">
        <v>45757.0</v>
      </c>
      <c r="C29" s="26">
        <v>2.0</v>
      </c>
    </row>
    <row r="30">
      <c r="A30" s="23" t="s">
        <v>60</v>
      </c>
      <c r="B30" s="24">
        <v>46125.0</v>
      </c>
      <c r="C30" s="26">
        <v>3.0</v>
      </c>
    </row>
    <row r="31">
      <c r="A31" s="26" t="s">
        <v>61</v>
      </c>
      <c r="B31" s="24">
        <v>46126.0</v>
      </c>
      <c r="C31" s="26">
        <v>2.0</v>
      </c>
      <c r="H31" s="28">
        <f>(H28*I27)/H27</f>
        <v>349473.6842</v>
      </c>
    </row>
    <row r="32">
      <c r="A32" s="26" t="s">
        <v>62</v>
      </c>
      <c r="B32" s="24">
        <v>46127.0</v>
      </c>
      <c r="C32" s="26">
        <v>0.0</v>
      </c>
    </row>
    <row r="33">
      <c r="A33" s="26" t="s">
        <v>64</v>
      </c>
      <c r="B33" s="24">
        <v>46128.0</v>
      </c>
      <c r="C33" s="26">
        <v>2.0</v>
      </c>
    </row>
    <row r="34">
      <c r="A34" s="26" t="s">
        <v>65</v>
      </c>
      <c r="B34" s="24">
        <v>46129.0</v>
      </c>
      <c r="C34" s="26">
        <v>2.0</v>
      </c>
    </row>
    <row r="35">
      <c r="A35" s="23" t="s">
        <v>60</v>
      </c>
      <c r="B35" s="24">
        <v>45767.0</v>
      </c>
      <c r="C35" s="26">
        <v>3.0</v>
      </c>
    </row>
    <row r="36">
      <c r="A36" s="26" t="s">
        <v>61</v>
      </c>
      <c r="B36" s="24">
        <v>45768.0</v>
      </c>
      <c r="C36" s="26">
        <v>2.0</v>
      </c>
    </row>
    <row r="37">
      <c r="A37" s="26" t="s">
        <v>62</v>
      </c>
      <c r="B37" s="24">
        <v>45769.0</v>
      </c>
      <c r="C37" s="26">
        <v>0.0</v>
      </c>
    </row>
    <row r="38">
      <c r="A38" s="26" t="s">
        <v>64</v>
      </c>
      <c r="B38" s="24">
        <v>45770.0</v>
      </c>
      <c r="C38" s="26">
        <v>2.0</v>
      </c>
    </row>
    <row r="39">
      <c r="A39" s="26" t="s">
        <v>65</v>
      </c>
      <c r="B39" s="24">
        <v>45771.0</v>
      </c>
      <c r="C39" s="26">
        <v>2.0</v>
      </c>
    </row>
    <row r="40">
      <c r="A40" s="23" t="s">
        <v>60</v>
      </c>
      <c r="B40" s="24">
        <v>45774.0</v>
      </c>
      <c r="C40" s="26">
        <v>3.0</v>
      </c>
    </row>
    <row r="41">
      <c r="A41" s="26" t="s">
        <v>61</v>
      </c>
      <c r="B41" s="24">
        <v>45775.0</v>
      </c>
      <c r="C41" s="26">
        <v>2.0</v>
      </c>
    </row>
    <row r="42">
      <c r="A42" s="26" t="s">
        <v>62</v>
      </c>
      <c r="B42" s="24">
        <v>45776.0</v>
      </c>
      <c r="C42" s="26">
        <v>0.0</v>
      </c>
    </row>
    <row r="43">
      <c r="A43" s="26" t="s">
        <v>64</v>
      </c>
      <c r="B43" s="24">
        <v>45777.0</v>
      </c>
      <c r="C43" s="26">
        <v>2.0</v>
      </c>
    </row>
    <row r="44">
      <c r="A44" s="29" t="s">
        <v>67</v>
      </c>
      <c r="B44" s="3"/>
      <c r="C44" s="30">
        <f>SUM(C24:C43)</f>
        <v>35</v>
      </c>
    </row>
    <row r="48">
      <c r="A48" s="21" t="s">
        <v>70</v>
      </c>
      <c r="B48" s="2"/>
      <c r="C48" s="3"/>
    </row>
    <row r="49">
      <c r="A49" s="22" t="s">
        <v>58</v>
      </c>
      <c r="B49" s="3"/>
      <c r="C49" s="23" t="s">
        <v>59</v>
      </c>
    </row>
    <row r="50">
      <c r="A50" s="23" t="s">
        <v>60</v>
      </c>
      <c r="B50" s="24">
        <v>45416.0</v>
      </c>
      <c r="C50" s="23">
        <v>3.0</v>
      </c>
    </row>
    <row r="51">
      <c r="A51" s="26" t="s">
        <v>61</v>
      </c>
      <c r="B51" s="24">
        <v>45782.0</v>
      </c>
      <c r="C51" s="26">
        <v>2.0</v>
      </c>
    </row>
    <row r="52">
      <c r="A52" s="26" t="s">
        <v>62</v>
      </c>
      <c r="B52" s="24">
        <v>45783.0</v>
      </c>
      <c r="C52" s="23">
        <v>3.0</v>
      </c>
    </row>
    <row r="53">
      <c r="A53" s="26" t="s">
        <v>64</v>
      </c>
      <c r="B53" s="24">
        <v>45784.0</v>
      </c>
      <c r="C53" s="26">
        <v>2.0</v>
      </c>
      <c r="H53" s="27">
        <v>19.0</v>
      </c>
      <c r="I53" s="27">
        <v>166000.0</v>
      </c>
    </row>
    <row r="54">
      <c r="A54" s="26" t="s">
        <v>65</v>
      </c>
      <c r="B54" s="31">
        <v>45420.0</v>
      </c>
      <c r="C54" s="26">
        <v>2.0</v>
      </c>
      <c r="H54" s="27">
        <v>40.0</v>
      </c>
    </row>
    <row r="55">
      <c r="A55" s="23" t="s">
        <v>60</v>
      </c>
      <c r="B55" s="24">
        <v>45788.0</v>
      </c>
      <c r="C55" s="23">
        <v>3.0</v>
      </c>
    </row>
    <row r="56">
      <c r="A56" s="26" t="s">
        <v>61</v>
      </c>
      <c r="B56" s="24">
        <v>45789.0</v>
      </c>
      <c r="C56" s="26">
        <v>2.0</v>
      </c>
    </row>
    <row r="57">
      <c r="A57" s="26" t="s">
        <v>62</v>
      </c>
      <c r="B57" s="24">
        <v>45790.0</v>
      </c>
      <c r="C57" s="23">
        <v>3.0</v>
      </c>
      <c r="H57" s="28">
        <f>(H54*I53)/H53</f>
        <v>349473.6842</v>
      </c>
    </row>
    <row r="58">
      <c r="A58" s="26" t="s">
        <v>64</v>
      </c>
      <c r="B58" s="24">
        <v>45791.0</v>
      </c>
      <c r="C58" s="26">
        <v>2.0</v>
      </c>
    </row>
    <row r="59">
      <c r="A59" s="26" t="s">
        <v>65</v>
      </c>
      <c r="B59" s="24">
        <v>45792.0</v>
      </c>
      <c r="C59" s="26">
        <v>2.0</v>
      </c>
    </row>
    <row r="60">
      <c r="A60" s="26" t="s">
        <v>61</v>
      </c>
      <c r="B60" s="24">
        <v>45795.0</v>
      </c>
      <c r="C60" s="23">
        <v>3.0</v>
      </c>
    </row>
    <row r="61">
      <c r="A61" s="26" t="s">
        <v>62</v>
      </c>
      <c r="B61" s="24">
        <v>45796.0</v>
      </c>
      <c r="C61" s="26">
        <v>2.0</v>
      </c>
    </row>
    <row r="62">
      <c r="A62" s="26" t="s">
        <v>64</v>
      </c>
      <c r="B62" s="24">
        <v>45797.0</v>
      </c>
      <c r="C62" s="23">
        <v>3.0</v>
      </c>
    </row>
    <row r="63">
      <c r="A63" s="23" t="s">
        <v>60</v>
      </c>
      <c r="B63" s="24">
        <v>45798.0</v>
      </c>
      <c r="C63" s="26">
        <v>0.0</v>
      </c>
    </row>
    <row r="64">
      <c r="A64" s="26" t="s">
        <v>61</v>
      </c>
      <c r="B64" s="24">
        <v>45799.0</v>
      </c>
      <c r="C64" s="26">
        <v>2.0</v>
      </c>
    </row>
    <row r="65">
      <c r="A65" s="26" t="s">
        <v>61</v>
      </c>
      <c r="B65" s="24">
        <v>46168.0</v>
      </c>
      <c r="C65" s="26">
        <v>2.0</v>
      </c>
    </row>
    <row r="66">
      <c r="A66" s="26" t="s">
        <v>62</v>
      </c>
      <c r="B66" s="24">
        <v>46169.0</v>
      </c>
      <c r="C66" s="26">
        <v>0.0</v>
      </c>
    </row>
    <row r="67">
      <c r="A67" s="26" t="s">
        <v>64</v>
      </c>
      <c r="B67" s="24">
        <v>45805.0</v>
      </c>
      <c r="C67" s="26">
        <v>2.0</v>
      </c>
    </row>
    <row r="68" ht="14.25" customHeight="1">
      <c r="A68" s="26" t="s">
        <v>65</v>
      </c>
      <c r="B68" s="24">
        <v>45806.0</v>
      </c>
      <c r="C68" s="26">
        <v>2.0</v>
      </c>
    </row>
    <row r="69">
      <c r="A69" s="29" t="s">
        <v>67</v>
      </c>
      <c r="B69" s="3"/>
      <c r="C69" s="30">
        <f>SUM(C50:C68)</f>
        <v>40</v>
      </c>
    </row>
    <row r="73">
      <c r="A73" s="21" t="s">
        <v>71</v>
      </c>
      <c r="B73" s="2"/>
      <c r="C73" s="3"/>
    </row>
    <row r="74">
      <c r="A74" s="22" t="s">
        <v>58</v>
      </c>
      <c r="B74" s="3"/>
      <c r="C74" s="23" t="s">
        <v>59</v>
      </c>
    </row>
    <row r="75">
      <c r="A75" s="23" t="s">
        <v>60</v>
      </c>
      <c r="B75" s="24">
        <v>45809.0</v>
      </c>
      <c r="C75" s="23">
        <v>3.0</v>
      </c>
    </row>
    <row r="76">
      <c r="A76" s="26" t="s">
        <v>61</v>
      </c>
      <c r="B76" s="24">
        <v>45810.0</v>
      </c>
      <c r="C76" s="26">
        <v>2.0</v>
      </c>
    </row>
    <row r="77">
      <c r="A77" s="26" t="s">
        <v>62</v>
      </c>
      <c r="B77" s="24">
        <v>45811.0</v>
      </c>
      <c r="C77" s="23">
        <v>3.0</v>
      </c>
    </row>
    <row r="78">
      <c r="A78" s="26" t="s">
        <v>64</v>
      </c>
      <c r="B78" s="24">
        <v>45812.0</v>
      </c>
      <c r="C78" s="26">
        <v>2.0</v>
      </c>
    </row>
    <row r="79">
      <c r="A79" s="26" t="s">
        <v>65</v>
      </c>
      <c r="B79" s="24">
        <v>45813.0</v>
      </c>
      <c r="C79" s="26">
        <v>2.0</v>
      </c>
      <c r="H79" s="32">
        <v>19.0</v>
      </c>
      <c r="I79" s="32">
        <v>166000.0</v>
      </c>
    </row>
    <row r="80">
      <c r="A80" s="23" t="s">
        <v>60</v>
      </c>
      <c r="B80" s="24">
        <v>46181.0</v>
      </c>
      <c r="C80" s="23">
        <v>3.0</v>
      </c>
      <c r="H80" s="33">
        <v>48.0</v>
      </c>
      <c r="I80" s="34"/>
    </row>
    <row r="81">
      <c r="A81" s="26" t="s">
        <v>61</v>
      </c>
      <c r="B81" s="24">
        <v>46182.0</v>
      </c>
      <c r="C81" s="26">
        <v>2.0</v>
      </c>
      <c r="H81" s="34"/>
      <c r="I81" s="34"/>
    </row>
    <row r="82">
      <c r="A82" s="26" t="s">
        <v>62</v>
      </c>
      <c r="B82" s="24">
        <v>46183.0</v>
      </c>
      <c r="C82" s="23">
        <v>3.0</v>
      </c>
      <c r="D82" s="35"/>
      <c r="H82" s="34"/>
      <c r="I82" s="34"/>
    </row>
    <row r="83">
      <c r="A83" s="26" t="s">
        <v>64</v>
      </c>
      <c r="B83" s="36">
        <v>46184.0</v>
      </c>
      <c r="C83" s="26">
        <v>2.0</v>
      </c>
      <c r="H83" s="32">
        <f>(H80*I79)/H79</f>
        <v>419368.4211</v>
      </c>
      <c r="I83" s="34"/>
    </row>
    <row r="84">
      <c r="A84" s="26" t="s">
        <v>65</v>
      </c>
      <c r="B84" s="36">
        <v>46185.0</v>
      </c>
      <c r="C84" s="26">
        <v>2.0</v>
      </c>
      <c r="H84" s="34"/>
      <c r="I84" s="34"/>
    </row>
    <row r="85">
      <c r="A85" s="26" t="s">
        <v>61</v>
      </c>
      <c r="B85" s="36">
        <v>46189.0</v>
      </c>
      <c r="C85" s="26">
        <v>2.0</v>
      </c>
    </row>
    <row r="86">
      <c r="A86" s="26" t="s">
        <v>62</v>
      </c>
      <c r="B86" s="36">
        <v>46190.0</v>
      </c>
      <c r="C86" s="26">
        <v>3.0</v>
      </c>
    </row>
    <row r="87">
      <c r="A87" s="26" t="s">
        <v>64</v>
      </c>
      <c r="B87" s="36">
        <v>46191.0</v>
      </c>
      <c r="C87" s="26">
        <v>2.0</v>
      </c>
    </row>
    <row r="88">
      <c r="A88" s="26" t="s">
        <v>72</v>
      </c>
      <c r="B88" s="36">
        <v>46192.0</v>
      </c>
      <c r="C88" s="26">
        <v>2.0</v>
      </c>
    </row>
    <row r="89">
      <c r="A89" s="23" t="s">
        <v>60</v>
      </c>
      <c r="B89" s="24">
        <v>46195.0</v>
      </c>
      <c r="C89" s="23">
        <v>3.0</v>
      </c>
    </row>
    <row r="90">
      <c r="A90" s="26" t="s">
        <v>61</v>
      </c>
      <c r="B90" s="24">
        <v>46196.0</v>
      </c>
      <c r="C90" s="26">
        <v>2.0</v>
      </c>
    </row>
    <row r="91">
      <c r="A91" s="26" t="s">
        <v>62</v>
      </c>
      <c r="B91" s="24">
        <v>46197.0</v>
      </c>
      <c r="C91" s="23">
        <v>3.0</v>
      </c>
    </row>
    <row r="92">
      <c r="A92" s="26" t="s">
        <v>64</v>
      </c>
      <c r="B92" s="24">
        <v>46198.0</v>
      </c>
      <c r="C92" s="26">
        <v>0.0</v>
      </c>
    </row>
    <row r="93">
      <c r="A93" s="26" t="s">
        <v>65</v>
      </c>
      <c r="B93" s="24">
        <v>46199.0</v>
      </c>
      <c r="C93" s="26">
        <v>2.0</v>
      </c>
    </row>
    <row r="94">
      <c r="A94" s="23" t="s">
        <v>60</v>
      </c>
      <c r="B94" s="24">
        <v>45837.0</v>
      </c>
      <c r="C94" s="26">
        <v>3.0</v>
      </c>
    </row>
    <row r="95">
      <c r="A95" s="26" t="s">
        <v>61</v>
      </c>
      <c r="B95" s="24">
        <v>45838.0</v>
      </c>
      <c r="C95" s="26">
        <v>2.0</v>
      </c>
    </row>
    <row r="96">
      <c r="A96" s="29" t="s">
        <v>67</v>
      </c>
      <c r="B96" s="3"/>
      <c r="C96" s="30">
        <f>SUM(C75:C95)</f>
        <v>48</v>
      </c>
    </row>
    <row r="99">
      <c r="A99" s="21" t="s">
        <v>73</v>
      </c>
      <c r="B99" s="2"/>
      <c r="C99" s="3"/>
    </row>
    <row r="100">
      <c r="A100" s="22" t="s">
        <v>58</v>
      </c>
      <c r="B100" s="3"/>
      <c r="C100" s="23" t="s">
        <v>59</v>
      </c>
    </row>
    <row r="101">
      <c r="A101" s="23"/>
      <c r="B101" s="31"/>
      <c r="C101" s="23"/>
    </row>
    <row r="102">
      <c r="A102" s="26" t="s">
        <v>62</v>
      </c>
      <c r="B102" s="31">
        <v>45108.0</v>
      </c>
      <c r="C102" s="26">
        <v>3.0</v>
      </c>
    </row>
    <row r="103">
      <c r="A103" s="26" t="s">
        <v>64</v>
      </c>
      <c r="B103" s="24">
        <v>45109.0</v>
      </c>
      <c r="C103" s="26">
        <v>2.0</v>
      </c>
      <c r="H103" s="32">
        <v>19.0</v>
      </c>
      <c r="I103" s="32">
        <v>166000.0</v>
      </c>
    </row>
    <row r="104">
      <c r="A104" s="26" t="s">
        <v>65</v>
      </c>
      <c r="B104" s="24">
        <v>45841.0</v>
      </c>
      <c r="C104" s="26">
        <v>0.0</v>
      </c>
      <c r="H104" s="33">
        <v>29.0</v>
      </c>
      <c r="I104" s="34"/>
    </row>
    <row r="105">
      <c r="A105" s="23" t="s">
        <v>60</v>
      </c>
      <c r="B105" s="24">
        <v>46223.0</v>
      </c>
      <c r="C105" s="26">
        <v>3.0</v>
      </c>
      <c r="H105" s="34"/>
      <c r="I105" s="34"/>
    </row>
    <row r="106">
      <c r="A106" s="26" t="s">
        <v>61</v>
      </c>
      <c r="B106" s="24">
        <v>46224.0</v>
      </c>
      <c r="C106" s="26">
        <v>2.0</v>
      </c>
      <c r="H106" s="34"/>
      <c r="I106" s="34"/>
    </row>
    <row r="107">
      <c r="A107" s="26" t="s">
        <v>62</v>
      </c>
      <c r="B107" s="24">
        <v>46225.0</v>
      </c>
      <c r="C107" s="37">
        <v>3.0</v>
      </c>
      <c r="H107" s="32">
        <f>(H104*I103)/H103</f>
        <v>253368.4211</v>
      </c>
      <c r="I107" s="34"/>
    </row>
    <row r="108">
      <c r="A108" s="26" t="s">
        <v>64</v>
      </c>
      <c r="B108" s="24">
        <v>46226.0</v>
      </c>
      <c r="C108" s="37">
        <v>2.0</v>
      </c>
      <c r="E108" s="35"/>
    </row>
    <row r="109">
      <c r="A109" s="26" t="s">
        <v>65</v>
      </c>
      <c r="B109" s="24">
        <v>46227.0</v>
      </c>
      <c r="C109" s="26">
        <v>2.0</v>
      </c>
    </row>
    <row r="110">
      <c r="A110" s="23" t="s">
        <v>60</v>
      </c>
      <c r="B110" s="24">
        <v>46230.0</v>
      </c>
      <c r="C110" s="26">
        <v>3.0</v>
      </c>
    </row>
    <row r="111">
      <c r="A111" s="26" t="s">
        <v>61</v>
      </c>
      <c r="B111" s="24">
        <v>45866.0</v>
      </c>
      <c r="C111" s="26">
        <v>0.0</v>
      </c>
    </row>
    <row r="112">
      <c r="A112" s="26" t="s">
        <v>62</v>
      </c>
      <c r="B112" s="24">
        <v>45867.0</v>
      </c>
      <c r="C112" s="26">
        <v>3.0</v>
      </c>
    </row>
    <row r="113">
      <c r="A113" s="26" t="s">
        <v>64</v>
      </c>
      <c r="B113" s="24">
        <v>45868.0</v>
      </c>
      <c r="C113" s="26">
        <v>2.0</v>
      </c>
    </row>
    <row r="114">
      <c r="A114" s="26" t="s">
        <v>65</v>
      </c>
      <c r="B114" s="24">
        <v>45869.0</v>
      </c>
      <c r="C114" s="26">
        <v>2.0</v>
      </c>
    </row>
    <row r="115">
      <c r="A115" s="29" t="s">
        <v>67</v>
      </c>
      <c r="B115" s="3"/>
      <c r="C115" s="30">
        <f>SUM(C102:C114)</f>
        <v>27</v>
      </c>
    </row>
    <row r="118">
      <c r="A118" s="21" t="s">
        <v>74</v>
      </c>
      <c r="B118" s="2"/>
      <c r="C118" s="3"/>
    </row>
    <row r="119">
      <c r="A119" s="22" t="s">
        <v>58</v>
      </c>
      <c r="B119" s="3"/>
      <c r="C119" s="23" t="s">
        <v>59</v>
      </c>
    </row>
    <row r="120">
      <c r="A120" s="23" t="s">
        <v>60</v>
      </c>
      <c r="B120" s="24">
        <v>46237.0</v>
      </c>
      <c r="C120" s="26">
        <v>3.0</v>
      </c>
    </row>
    <row r="121">
      <c r="A121" s="26" t="s">
        <v>61</v>
      </c>
      <c r="B121" s="24">
        <v>45873.0</v>
      </c>
      <c r="C121" s="26">
        <v>2.0</v>
      </c>
    </row>
    <row r="122">
      <c r="A122" s="26" t="s">
        <v>62</v>
      </c>
      <c r="B122" s="24">
        <v>45874.0</v>
      </c>
      <c r="C122" s="26">
        <v>3.0</v>
      </c>
    </row>
    <row r="123">
      <c r="A123" s="26" t="s">
        <v>64</v>
      </c>
      <c r="B123" s="24">
        <v>45875.0</v>
      </c>
      <c r="C123" s="26">
        <v>2.0</v>
      </c>
    </row>
    <row r="124">
      <c r="A124" s="26" t="s">
        <v>65</v>
      </c>
      <c r="B124" s="24">
        <v>45876.0</v>
      </c>
      <c r="C124" s="26">
        <v>2.0</v>
      </c>
      <c r="H124" s="32">
        <v>19.0</v>
      </c>
      <c r="I124" s="32">
        <v>166000.0</v>
      </c>
    </row>
    <row r="125">
      <c r="A125" s="23" t="s">
        <v>60</v>
      </c>
      <c r="B125" s="24">
        <v>46244.0</v>
      </c>
      <c r="C125" s="26">
        <v>3.0</v>
      </c>
      <c r="H125" s="33">
        <v>47.0</v>
      </c>
      <c r="I125" s="34"/>
    </row>
    <row r="126">
      <c r="A126" s="26" t="s">
        <v>61</v>
      </c>
      <c r="B126" s="24">
        <v>46245.0</v>
      </c>
      <c r="C126" s="26">
        <v>2.0</v>
      </c>
      <c r="H126" s="34"/>
      <c r="I126" s="34"/>
    </row>
    <row r="127">
      <c r="A127" s="26" t="s">
        <v>62</v>
      </c>
      <c r="B127" s="24">
        <v>45881.0</v>
      </c>
      <c r="C127" s="26">
        <v>3.0</v>
      </c>
      <c r="H127" s="34"/>
      <c r="I127" s="34"/>
    </row>
    <row r="128">
      <c r="A128" s="26" t="s">
        <v>64</v>
      </c>
      <c r="B128" s="24">
        <v>45882.0</v>
      </c>
      <c r="C128" s="26">
        <v>2.0</v>
      </c>
      <c r="H128" s="32">
        <f>(H125*I124)/H124</f>
        <v>410631.5789</v>
      </c>
      <c r="I128" s="34"/>
    </row>
    <row r="129">
      <c r="A129" s="26" t="s">
        <v>65</v>
      </c>
      <c r="B129" s="24">
        <v>45883.0</v>
      </c>
      <c r="C129" s="26">
        <v>3.0</v>
      </c>
    </row>
    <row r="130">
      <c r="A130" s="23" t="s">
        <v>60</v>
      </c>
      <c r="B130" s="24">
        <v>46251.0</v>
      </c>
      <c r="C130" s="26"/>
      <c r="D130" s="27" t="s">
        <v>75</v>
      </c>
    </row>
    <row r="131">
      <c r="A131" s="26" t="s">
        <v>61</v>
      </c>
      <c r="B131" s="24">
        <v>46252.0</v>
      </c>
      <c r="C131" s="26">
        <v>3.0</v>
      </c>
    </row>
    <row r="132">
      <c r="A132" s="26" t="s">
        <v>62</v>
      </c>
      <c r="B132" s="24">
        <v>46253.0</v>
      </c>
      <c r="C132" s="26">
        <v>2.0</v>
      </c>
    </row>
    <row r="133">
      <c r="A133" s="26" t="s">
        <v>64</v>
      </c>
      <c r="B133" s="24">
        <v>45889.0</v>
      </c>
      <c r="C133" s="26">
        <v>2.0</v>
      </c>
    </row>
    <row r="134">
      <c r="A134" s="26" t="s">
        <v>65</v>
      </c>
      <c r="B134" s="24">
        <v>45890.0</v>
      </c>
      <c r="C134" s="26">
        <v>2.0</v>
      </c>
    </row>
    <row r="135">
      <c r="A135" s="23" t="s">
        <v>60</v>
      </c>
      <c r="B135" s="24">
        <v>46258.0</v>
      </c>
      <c r="C135" s="26">
        <v>3.0</v>
      </c>
    </row>
    <row r="136">
      <c r="A136" s="26" t="s">
        <v>61</v>
      </c>
      <c r="B136" s="24">
        <v>46259.0</v>
      </c>
      <c r="C136" s="26">
        <v>2.0</v>
      </c>
    </row>
    <row r="137">
      <c r="A137" s="26" t="s">
        <v>62</v>
      </c>
      <c r="B137" s="24">
        <v>46260.0</v>
      </c>
      <c r="C137" s="26">
        <v>3.0</v>
      </c>
    </row>
    <row r="138">
      <c r="A138" s="26" t="s">
        <v>64</v>
      </c>
      <c r="B138" s="24">
        <v>46261.0</v>
      </c>
      <c r="C138" s="26"/>
      <c r="D138" s="27" t="s">
        <v>76</v>
      </c>
    </row>
    <row r="139">
      <c r="A139" s="26" t="s">
        <v>65</v>
      </c>
      <c r="B139" s="24">
        <v>46262.0</v>
      </c>
      <c r="C139" s="26">
        <v>2.0</v>
      </c>
    </row>
    <row r="140">
      <c r="A140" s="23" t="s">
        <v>60</v>
      </c>
      <c r="B140" s="24">
        <v>46265.0</v>
      </c>
      <c r="C140" s="26">
        <v>3.0</v>
      </c>
    </row>
    <row r="141">
      <c r="A141" s="29" t="s">
        <v>67</v>
      </c>
      <c r="B141" s="3"/>
      <c r="C141" s="30">
        <f>SUM(C120:C140)</f>
        <v>47</v>
      </c>
    </row>
    <row r="144">
      <c r="A144" s="38" t="s">
        <v>77</v>
      </c>
      <c r="B144" s="2"/>
      <c r="C144" s="3"/>
      <c r="D144" s="39"/>
    </row>
    <row r="145">
      <c r="A145" s="40" t="s">
        <v>58</v>
      </c>
      <c r="B145" s="3"/>
      <c r="C145" s="41" t="s">
        <v>59</v>
      </c>
      <c r="D145" s="39"/>
    </row>
    <row r="146">
      <c r="A146" s="26" t="s">
        <v>61</v>
      </c>
      <c r="B146" s="42">
        <v>1.0</v>
      </c>
      <c r="C146" s="42">
        <v>2.0</v>
      </c>
      <c r="D146" s="39"/>
    </row>
    <row r="147">
      <c r="A147" s="26" t="s">
        <v>62</v>
      </c>
      <c r="B147" s="42">
        <v>2.0</v>
      </c>
      <c r="C147" s="42">
        <v>3.0</v>
      </c>
      <c r="D147" s="39"/>
    </row>
    <row r="148">
      <c r="A148" s="26" t="s">
        <v>64</v>
      </c>
      <c r="B148" s="42">
        <v>3.0</v>
      </c>
      <c r="C148" s="42">
        <v>2.0</v>
      </c>
      <c r="D148" s="39"/>
    </row>
    <row r="149">
      <c r="A149" s="26" t="s">
        <v>65</v>
      </c>
      <c r="B149" s="42">
        <v>4.0</v>
      </c>
      <c r="C149" s="41">
        <v>2.0</v>
      </c>
      <c r="D149" s="39"/>
    </row>
    <row r="150">
      <c r="A150" s="41" t="s">
        <v>60</v>
      </c>
      <c r="B150" s="42">
        <v>7.0</v>
      </c>
      <c r="C150" s="42">
        <v>3.0</v>
      </c>
      <c r="D150" s="39"/>
      <c r="G150" s="35"/>
    </row>
    <row r="151">
      <c r="A151" s="41" t="s">
        <v>61</v>
      </c>
      <c r="B151" s="42">
        <v>8.0</v>
      </c>
      <c r="C151" s="42">
        <v>2.0</v>
      </c>
      <c r="D151" s="39"/>
    </row>
    <row r="152">
      <c r="A152" s="26" t="s">
        <v>62</v>
      </c>
      <c r="B152" s="42">
        <v>9.0</v>
      </c>
      <c r="C152" s="42">
        <v>3.0</v>
      </c>
      <c r="D152" s="39"/>
    </row>
    <row r="153">
      <c r="A153" s="26" t="s">
        <v>64</v>
      </c>
      <c r="B153" s="42">
        <v>10.0</v>
      </c>
      <c r="C153" s="42">
        <v>2.0</v>
      </c>
      <c r="D153" s="39"/>
    </row>
    <row r="154">
      <c r="A154" s="23" t="s">
        <v>60</v>
      </c>
      <c r="B154" s="42">
        <v>14.0</v>
      </c>
      <c r="C154" s="42">
        <v>3.0</v>
      </c>
      <c r="D154" s="39"/>
    </row>
    <row r="155">
      <c r="A155" s="26" t="s">
        <v>61</v>
      </c>
      <c r="B155" s="42">
        <v>15.0</v>
      </c>
      <c r="C155" s="42">
        <v>2.0</v>
      </c>
      <c r="D155" s="39"/>
    </row>
    <row r="156">
      <c r="A156" s="26" t="s">
        <v>62</v>
      </c>
      <c r="B156" s="42">
        <v>16.0</v>
      </c>
      <c r="C156" s="42">
        <v>3.0</v>
      </c>
      <c r="D156" s="39"/>
    </row>
    <row r="157">
      <c r="A157" s="26" t="s">
        <v>64</v>
      </c>
      <c r="B157" s="42">
        <v>17.0</v>
      </c>
      <c r="C157" s="42">
        <v>2.0</v>
      </c>
      <c r="D157" s="39"/>
    </row>
    <row r="158">
      <c r="A158" s="26" t="s">
        <v>65</v>
      </c>
      <c r="B158" s="42">
        <v>18.0</v>
      </c>
      <c r="C158" s="42">
        <v>2.0</v>
      </c>
      <c r="D158" s="39"/>
    </row>
    <row r="159">
      <c r="A159" s="26" t="s">
        <v>61</v>
      </c>
      <c r="B159" s="42">
        <v>22.0</v>
      </c>
      <c r="C159" s="42">
        <v>2.0</v>
      </c>
      <c r="D159" s="39"/>
    </row>
    <row r="160">
      <c r="A160" s="26" t="s">
        <v>62</v>
      </c>
      <c r="B160" s="42">
        <v>23.0</v>
      </c>
      <c r="C160" s="42">
        <v>3.0</v>
      </c>
      <c r="D160" s="39"/>
    </row>
    <row r="161">
      <c r="A161" s="26" t="s">
        <v>64</v>
      </c>
      <c r="B161" s="42">
        <v>24.0</v>
      </c>
      <c r="C161" s="42">
        <v>2.0</v>
      </c>
      <c r="D161" s="39"/>
    </row>
    <row r="162">
      <c r="A162" s="26" t="s">
        <v>65</v>
      </c>
      <c r="B162" s="42">
        <v>25.0</v>
      </c>
      <c r="C162" s="42">
        <v>2.0</v>
      </c>
      <c r="D162" s="39"/>
    </row>
    <row r="163">
      <c r="A163" s="23" t="s">
        <v>60</v>
      </c>
      <c r="B163" s="43">
        <v>28.0</v>
      </c>
      <c r="C163" s="44">
        <v>3.0</v>
      </c>
      <c r="D163" s="39"/>
    </row>
    <row r="164">
      <c r="A164" s="26" t="s">
        <v>61</v>
      </c>
      <c r="B164" s="43">
        <v>29.0</v>
      </c>
      <c r="C164" s="44">
        <v>2.0</v>
      </c>
      <c r="D164" s="39"/>
    </row>
    <row r="165">
      <c r="A165" s="26" t="s">
        <v>62</v>
      </c>
      <c r="B165" s="43">
        <v>30.0</v>
      </c>
      <c r="C165" s="44">
        <v>3.0</v>
      </c>
      <c r="D165" s="39"/>
    </row>
    <row r="166">
      <c r="A166" s="45" t="s">
        <v>67</v>
      </c>
      <c r="B166" s="46"/>
      <c r="C166" s="47">
        <f>SUM(C146:C165)</f>
        <v>48</v>
      </c>
      <c r="D166" s="39"/>
    </row>
    <row r="170">
      <c r="A170" s="38" t="s">
        <v>78</v>
      </c>
      <c r="B170" s="2"/>
      <c r="C170" s="3"/>
      <c r="D170" s="39"/>
    </row>
    <row r="171">
      <c r="A171" s="48" t="s">
        <v>58</v>
      </c>
      <c r="B171" s="46"/>
      <c r="C171" s="49" t="s">
        <v>59</v>
      </c>
      <c r="D171" s="39"/>
    </row>
    <row r="172">
      <c r="A172" s="26" t="s">
        <v>62</v>
      </c>
      <c r="B172" s="50">
        <v>45931.0</v>
      </c>
      <c r="C172" s="49">
        <v>3.0</v>
      </c>
      <c r="D172" s="39"/>
    </row>
    <row r="173">
      <c r="A173" s="26" t="s">
        <v>64</v>
      </c>
      <c r="B173" s="51">
        <v>45567.0</v>
      </c>
      <c r="C173" s="44">
        <v>2.0</v>
      </c>
      <c r="D173" s="39"/>
    </row>
    <row r="174">
      <c r="A174" s="26" t="s">
        <v>65</v>
      </c>
      <c r="B174" s="50">
        <v>45933.0</v>
      </c>
      <c r="C174" s="44">
        <v>2.0</v>
      </c>
      <c r="D174" s="39"/>
    </row>
    <row r="175">
      <c r="A175" s="23" t="s">
        <v>60</v>
      </c>
      <c r="B175" s="50">
        <v>45936.0</v>
      </c>
      <c r="C175" s="49">
        <v>3.0</v>
      </c>
      <c r="D175" s="39"/>
    </row>
    <row r="176">
      <c r="A176" s="26" t="s">
        <v>61</v>
      </c>
      <c r="B176" s="50">
        <v>45937.0</v>
      </c>
      <c r="C176" s="44">
        <v>2.0</v>
      </c>
      <c r="D176" s="39"/>
    </row>
    <row r="177">
      <c r="A177" s="26" t="s">
        <v>62</v>
      </c>
      <c r="B177" s="50">
        <v>45938.0</v>
      </c>
      <c r="C177" s="49">
        <v>3.0</v>
      </c>
      <c r="D177" s="39"/>
    </row>
    <row r="178">
      <c r="A178" s="26" t="s">
        <v>64</v>
      </c>
      <c r="B178" s="50">
        <v>45939.0</v>
      </c>
      <c r="C178" s="44">
        <v>2.0</v>
      </c>
      <c r="D178" s="39"/>
    </row>
    <row r="179">
      <c r="A179" s="23" t="s">
        <v>60</v>
      </c>
      <c r="B179" s="50">
        <v>45943.0</v>
      </c>
      <c r="C179" s="44">
        <v>3.0</v>
      </c>
      <c r="D179" s="39"/>
    </row>
    <row r="180">
      <c r="A180" s="26" t="s">
        <v>61</v>
      </c>
      <c r="B180" s="50">
        <v>45944.0</v>
      </c>
      <c r="C180" s="44">
        <v>2.0</v>
      </c>
      <c r="D180" s="39"/>
    </row>
    <row r="181">
      <c r="A181" s="26" t="s">
        <v>62</v>
      </c>
      <c r="B181" s="50">
        <v>45945.0</v>
      </c>
      <c r="C181" s="44">
        <v>3.0</v>
      </c>
      <c r="D181" s="39"/>
    </row>
    <row r="182">
      <c r="A182" s="26" t="s">
        <v>64</v>
      </c>
      <c r="B182" s="50">
        <v>45946.0</v>
      </c>
      <c r="C182" s="44">
        <v>2.0</v>
      </c>
      <c r="D182" s="39"/>
    </row>
    <row r="183">
      <c r="A183" s="26" t="s">
        <v>65</v>
      </c>
      <c r="B183" s="50">
        <v>45947.0</v>
      </c>
      <c r="C183" s="44">
        <v>2.0</v>
      </c>
      <c r="D183" s="39"/>
    </row>
    <row r="184">
      <c r="A184" s="23" t="s">
        <v>60</v>
      </c>
      <c r="B184" s="50">
        <v>45950.0</v>
      </c>
      <c r="C184" s="44">
        <v>3.0</v>
      </c>
      <c r="D184" s="39"/>
    </row>
    <row r="185">
      <c r="A185" s="26" t="s">
        <v>61</v>
      </c>
      <c r="B185" s="50">
        <v>45951.0</v>
      </c>
      <c r="C185" s="44">
        <v>2.0</v>
      </c>
      <c r="D185" s="39"/>
    </row>
    <row r="186">
      <c r="A186" s="26" t="s">
        <v>62</v>
      </c>
      <c r="B186" s="50">
        <v>45952.0</v>
      </c>
      <c r="C186" s="44">
        <v>3.0</v>
      </c>
      <c r="D186" s="39"/>
    </row>
    <row r="187">
      <c r="A187" s="26" t="s">
        <v>64</v>
      </c>
      <c r="B187" s="50">
        <v>45953.0</v>
      </c>
      <c r="C187" s="44">
        <v>2.0</v>
      </c>
      <c r="D187" s="39"/>
    </row>
    <row r="188">
      <c r="A188" s="26" t="s">
        <v>65</v>
      </c>
      <c r="B188" s="51">
        <v>45589.0</v>
      </c>
      <c r="C188" s="44">
        <v>2.0</v>
      </c>
      <c r="D188" s="39"/>
    </row>
    <row r="189">
      <c r="A189" s="23" t="s">
        <v>60</v>
      </c>
      <c r="B189" s="50">
        <v>45957.0</v>
      </c>
      <c r="C189" s="49">
        <v>3.0</v>
      </c>
      <c r="D189" s="39"/>
    </row>
    <row r="190">
      <c r="A190" s="26" t="s">
        <v>61</v>
      </c>
      <c r="B190" s="50">
        <v>45958.0</v>
      </c>
      <c r="C190" s="44">
        <v>2.0</v>
      </c>
      <c r="D190" s="39"/>
    </row>
    <row r="191">
      <c r="A191" s="26" t="s">
        <v>62</v>
      </c>
      <c r="B191" s="50">
        <v>45959.0</v>
      </c>
      <c r="C191" s="44">
        <v>3.0</v>
      </c>
      <c r="D191" s="39"/>
    </row>
    <row r="192">
      <c r="A192" s="26" t="s">
        <v>64</v>
      </c>
      <c r="B192" s="52">
        <v>45960.0</v>
      </c>
      <c r="C192" s="44">
        <v>2.0</v>
      </c>
      <c r="D192" s="39"/>
    </row>
    <row r="193">
      <c r="A193" s="26" t="s">
        <v>65</v>
      </c>
      <c r="B193" s="52">
        <v>45961.0</v>
      </c>
      <c r="C193" s="49">
        <v>2.0</v>
      </c>
      <c r="D193" s="39"/>
    </row>
    <row r="194">
      <c r="A194" s="45" t="s">
        <v>67</v>
      </c>
      <c r="B194" s="46"/>
      <c r="C194" s="47">
        <f>SUM(C172:C193)</f>
        <v>53</v>
      </c>
      <c r="D194" s="39"/>
    </row>
    <row r="198">
      <c r="A198" s="38" t="s">
        <v>79</v>
      </c>
      <c r="B198" s="2"/>
      <c r="C198" s="3"/>
      <c r="D198" s="39"/>
    </row>
    <row r="199">
      <c r="A199" s="48" t="s">
        <v>58</v>
      </c>
      <c r="B199" s="46"/>
      <c r="C199" s="49" t="s">
        <v>59</v>
      </c>
      <c r="D199" s="39"/>
    </row>
    <row r="200">
      <c r="A200" s="53" t="s">
        <v>60</v>
      </c>
      <c r="B200" s="50">
        <v>45964.0</v>
      </c>
      <c r="C200" s="49">
        <v>3.0</v>
      </c>
      <c r="D200" s="39"/>
    </row>
    <row r="201">
      <c r="A201" s="53" t="s">
        <v>61</v>
      </c>
      <c r="B201" s="51">
        <v>45600.0</v>
      </c>
      <c r="C201" s="49">
        <v>2.0</v>
      </c>
      <c r="D201" s="39"/>
    </row>
    <row r="202">
      <c r="A202" s="53" t="s">
        <v>62</v>
      </c>
      <c r="B202" s="51">
        <v>45601.0</v>
      </c>
      <c r="C202" s="44">
        <v>3.0</v>
      </c>
      <c r="D202" s="39"/>
    </row>
    <row r="203">
      <c r="A203" s="53" t="s">
        <v>64</v>
      </c>
      <c r="B203" s="51">
        <v>45602.0</v>
      </c>
      <c r="C203" s="44">
        <v>2.0</v>
      </c>
      <c r="D203" s="39"/>
    </row>
    <row r="204">
      <c r="A204" s="43" t="s">
        <v>65</v>
      </c>
      <c r="B204" s="51">
        <v>45603.0</v>
      </c>
      <c r="C204" s="44">
        <v>2.0</v>
      </c>
      <c r="D204" s="39"/>
    </row>
    <row r="205">
      <c r="A205" s="53" t="s">
        <v>60</v>
      </c>
      <c r="B205" s="52">
        <v>45971.0</v>
      </c>
      <c r="C205" s="44">
        <v>3.0</v>
      </c>
      <c r="D205" s="39"/>
    </row>
    <row r="206">
      <c r="A206" s="53" t="s">
        <v>61</v>
      </c>
      <c r="B206" s="52">
        <v>45972.0</v>
      </c>
      <c r="C206" s="44">
        <v>2.0</v>
      </c>
      <c r="D206" s="39"/>
    </row>
    <row r="207">
      <c r="A207" s="53" t="s">
        <v>62</v>
      </c>
      <c r="B207" s="50">
        <v>45973.0</v>
      </c>
      <c r="C207" s="44">
        <v>3.0</v>
      </c>
      <c r="D207" s="39"/>
    </row>
    <row r="208">
      <c r="A208" s="53" t="s">
        <v>64</v>
      </c>
      <c r="B208" s="50">
        <v>45974.0</v>
      </c>
      <c r="C208" s="44">
        <v>2.0</v>
      </c>
      <c r="D208" s="39"/>
    </row>
    <row r="209">
      <c r="A209" s="43" t="s">
        <v>65</v>
      </c>
      <c r="B209" s="50">
        <v>45975.0</v>
      </c>
      <c r="C209" s="49">
        <v>2.0</v>
      </c>
      <c r="D209" s="39"/>
    </row>
    <row r="210">
      <c r="A210" s="53" t="s">
        <v>60</v>
      </c>
      <c r="B210" s="50">
        <v>45978.0</v>
      </c>
      <c r="C210" s="44">
        <v>3.0</v>
      </c>
      <c r="D210" s="39"/>
    </row>
    <row r="211">
      <c r="A211" s="53" t="s">
        <v>61</v>
      </c>
      <c r="B211" s="50">
        <v>45979.0</v>
      </c>
      <c r="C211" s="44">
        <v>2.0</v>
      </c>
      <c r="D211" s="39"/>
    </row>
    <row r="212">
      <c r="A212" s="53" t="s">
        <v>62</v>
      </c>
      <c r="B212" s="50">
        <v>45980.0</v>
      </c>
      <c r="C212" s="44">
        <v>3.0</v>
      </c>
      <c r="D212" s="39"/>
    </row>
    <row r="213">
      <c r="A213" s="53" t="s">
        <v>64</v>
      </c>
      <c r="B213" s="50">
        <v>45981.0</v>
      </c>
      <c r="C213" s="44">
        <v>2.0</v>
      </c>
      <c r="D213" s="39"/>
    </row>
    <row r="214">
      <c r="A214" s="53" t="s">
        <v>61</v>
      </c>
      <c r="B214" s="51">
        <v>45621.0</v>
      </c>
      <c r="C214" s="44">
        <v>2.0</v>
      </c>
      <c r="D214" s="39"/>
    </row>
    <row r="215">
      <c r="A215" s="53" t="s">
        <v>62</v>
      </c>
      <c r="B215" s="51">
        <v>45622.0</v>
      </c>
      <c r="C215" s="44">
        <v>3.0</v>
      </c>
      <c r="D215" s="39"/>
    </row>
    <row r="216">
      <c r="A216" s="53" t="s">
        <v>64</v>
      </c>
      <c r="B216" s="50">
        <v>45988.0</v>
      </c>
      <c r="C216" s="44">
        <v>2.0</v>
      </c>
      <c r="D216" s="39"/>
    </row>
    <row r="217">
      <c r="A217" s="43" t="s">
        <v>65</v>
      </c>
      <c r="B217" s="50">
        <v>45989.0</v>
      </c>
      <c r="C217" s="44">
        <v>2.0</v>
      </c>
      <c r="D217" s="39"/>
    </row>
    <row r="218">
      <c r="A218" s="53"/>
      <c r="B218" s="55"/>
      <c r="C218" s="49"/>
      <c r="D218" s="39"/>
    </row>
    <row r="219">
      <c r="A219" s="45" t="s">
        <v>67</v>
      </c>
      <c r="B219" s="46"/>
      <c r="C219" s="47">
        <f>SUM(C200:C218)</f>
        <v>43</v>
      </c>
      <c r="D219" s="39"/>
    </row>
    <row r="223">
      <c r="A223" s="38" t="s">
        <v>81</v>
      </c>
      <c r="B223" s="2"/>
      <c r="C223" s="3"/>
      <c r="D223" s="39"/>
    </row>
    <row r="224">
      <c r="A224" s="48" t="s">
        <v>58</v>
      </c>
      <c r="B224" s="46"/>
      <c r="C224" s="49" t="s">
        <v>59</v>
      </c>
      <c r="D224" s="39"/>
    </row>
    <row r="225">
      <c r="A225" s="53"/>
      <c r="B225" s="51"/>
      <c r="C225" s="49"/>
      <c r="D225" s="39"/>
    </row>
    <row r="226">
      <c r="A226" s="53" t="s">
        <v>60</v>
      </c>
      <c r="B226" s="50">
        <v>46006.0</v>
      </c>
      <c r="C226" s="49">
        <v>2.0</v>
      </c>
      <c r="D226" s="39"/>
    </row>
    <row r="227">
      <c r="A227" s="53" t="s">
        <v>62</v>
      </c>
      <c r="B227" s="55"/>
      <c r="C227" s="49"/>
      <c r="D227" s="39"/>
    </row>
    <row r="228">
      <c r="A228" s="53" t="s">
        <v>64</v>
      </c>
      <c r="B228" s="51"/>
      <c r="C228" s="49"/>
      <c r="D228" s="39"/>
    </row>
    <row r="229">
      <c r="A229" s="53" t="s">
        <v>60</v>
      </c>
      <c r="B229" s="51"/>
      <c r="C229" s="49"/>
      <c r="D229" s="39"/>
    </row>
    <row r="230">
      <c r="A230" s="53" t="s">
        <v>62</v>
      </c>
      <c r="B230" s="51"/>
      <c r="C230" s="49"/>
      <c r="D230" s="39"/>
    </row>
    <row r="231">
      <c r="A231" s="53" t="s">
        <v>60</v>
      </c>
      <c r="B231" s="51"/>
      <c r="C231" s="49"/>
      <c r="D231" s="39"/>
    </row>
    <row r="232">
      <c r="A232" s="53" t="s">
        <v>62</v>
      </c>
      <c r="B232" s="51"/>
      <c r="C232" s="49"/>
      <c r="D232" s="39"/>
    </row>
    <row r="233">
      <c r="A233" s="53"/>
      <c r="B233" s="49"/>
      <c r="C233" s="49"/>
      <c r="D233" s="39"/>
    </row>
    <row r="234">
      <c r="A234" s="45" t="s">
        <v>67</v>
      </c>
      <c r="B234" s="46"/>
      <c r="C234" s="47">
        <f>SUM(C225:C233)</f>
        <v>2</v>
      </c>
      <c r="D234" s="39"/>
    </row>
  </sheetData>
  <mergeCells count="30">
    <mergeCell ref="A1:C1"/>
    <mergeCell ref="A2:B2"/>
    <mergeCell ref="A19:B19"/>
    <mergeCell ref="A22:C22"/>
    <mergeCell ref="A23:B23"/>
    <mergeCell ref="A44:B44"/>
    <mergeCell ref="A48:C48"/>
    <mergeCell ref="A49:B49"/>
    <mergeCell ref="A69:B69"/>
    <mergeCell ref="A73:C73"/>
    <mergeCell ref="A74:B74"/>
    <mergeCell ref="A96:B96"/>
    <mergeCell ref="A99:C99"/>
    <mergeCell ref="A100:B100"/>
    <mergeCell ref="A115:B115"/>
    <mergeCell ref="A118:C118"/>
    <mergeCell ref="A119:B119"/>
    <mergeCell ref="A141:B141"/>
    <mergeCell ref="A144:C144"/>
    <mergeCell ref="A145:B145"/>
    <mergeCell ref="A166:B166"/>
    <mergeCell ref="A224:B224"/>
    <mergeCell ref="A234:B234"/>
    <mergeCell ref="A170:C170"/>
    <mergeCell ref="A171:B171"/>
    <mergeCell ref="A194:B194"/>
    <mergeCell ref="A198:C198"/>
    <mergeCell ref="A199:B199"/>
    <mergeCell ref="A219:B219"/>
    <mergeCell ref="A223:C22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43"/>
    <col customWidth="1" min="3" max="4" width="11.57"/>
    <col customWidth="1" min="5" max="5" width="12.71"/>
    <col customWidth="1" min="6" max="6" width="11.57"/>
    <col customWidth="1" min="7" max="7" width="12.71"/>
    <col customWidth="1" min="8" max="8" width="13.29"/>
    <col customWidth="1" min="9" max="9" width="12.43"/>
    <col customWidth="1" min="10" max="11" width="11.57"/>
    <col customWidth="1" min="12" max="12" width="13.57"/>
    <col customWidth="1" min="13" max="13" width="12.57"/>
    <col customWidth="1" min="14" max="15" width="11.57"/>
    <col customWidth="1" min="16" max="16" width="12.14"/>
  </cols>
  <sheetData>
    <row r="1" ht="30.0" customHeight="1">
      <c r="A1" s="54" t="s">
        <v>80</v>
      </c>
      <c r="B1" s="3"/>
      <c r="C1" s="56" t="s">
        <v>61</v>
      </c>
      <c r="D1" s="56" t="s">
        <v>64</v>
      </c>
      <c r="E1" s="56" t="s">
        <v>65</v>
      </c>
      <c r="F1" s="56" t="s">
        <v>61</v>
      </c>
      <c r="G1" s="56" t="s">
        <v>64</v>
      </c>
      <c r="H1" s="56" t="s">
        <v>65</v>
      </c>
      <c r="I1" s="56" t="s">
        <v>61</v>
      </c>
      <c r="J1" s="56" t="s">
        <v>64</v>
      </c>
      <c r="K1" s="56" t="s">
        <v>65</v>
      </c>
      <c r="L1" s="56" t="s">
        <v>61</v>
      </c>
      <c r="M1" s="56" t="s">
        <v>64</v>
      </c>
      <c r="N1" s="56" t="s">
        <v>64</v>
      </c>
      <c r="O1" s="56" t="s">
        <v>65</v>
      </c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ht="30.0" customHeight="1">
      <c r="A2" s="57" t="s">
        <v>82</v>
      </c>
      <c r="B2" s="58" t="s">
        <v>83</v>
      </c>
      <c r="C2" s="59">
        <v>17.0</v>
      </c>
      <c r="D2" s="59">
        <v>19.0</v>
      </c>
      <c r="E2" s="59">
        <v>20.0</v>
      </c>
      <c r="F2" s="59">
        <v>24.0</v>
      </c>
      <c r="G2" s="59">
        <v>26.0</v>
      </c>
      <c r="H2" s="59">
        <v>27.0</v>
      </c>
      <c r="I2" s="59">
        <v>31.0</v>
      </c>
      <c r="J2" s="59"/>
      <c r="K2" s="59"/>
      <c r="L2" s="59"/>
      <c r="M2" s="59"/>
      <c r="N2" s="60"/>
      <c r="O2" s="60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30.0" customHeight="1">
      <c r="A3" s="62" t="s">
        <v>84</v>
      </c>
      <c r="B3" s="63" t="s">
        <v>85</v>
      </c>
      <c r="C3" s="64" t="s">
        <v>86</v>
      </c>
      <c r="D3" s="64" t="s">
        <v>86</v>
      </c>
      <c r="E3" s="65"/>
      <c r="F3" s="66" t="s">
        <v>87</v>
      </c>
      <c r="G3" s="64" t="s">
        <v>86</v>
      </c>
      <c r="H3" s="65"/>
      <c r="I3" s="64" t="s">
        <v>86</v>
      </c>
      <c r="J3" s="67"/>
      <c r="K3" s="67"/>
      <c r="L3" s="67"/>
      <c r="M3" s="67"/>
      <c r="N3" s="67"/>
      <c r="O3" s="67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30.0" customHeight="1">
      <c r="A4" s="62" t="s">
        <v>88</v>
      </c>
      <c r="B4" s="63" t="s">
        <v>89</v>
      </c>
      <c r="C4" s="65"/>
      <c r="D4" s="64" t="s">
        <v>86</v>
      </c>
      <c r="E4" s="64" t="s">
        <v>86</v>
      </c>
      <c r="F4" s="68"/>
      <c r="G4" s="64" t="s">
        <v>86</v>
      </c>
      <c r="H4" s="64" t="s">
        <v>86</v>
      </c>
      <c r="I4" s="65"/>
      <c r="J4" s="59"/>
      <c r="K4" s="69"/>
      <c r="L4" s="70"/>
      <c r="M4" s="71"/>
      <c r="N4" s="67"/>
      <c r="O4" s="67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30.0" customHeight="1">
      <c r="A5" s="62" t="s">
        <v>90</v>
      </c>
      <c r="B5" s="63" t="s">
        <v>91</v>
      </c>
      <c r="C5" s="64" t="s">
        <v>86</v>
      </c>
      <c r="D5" s="64" t="s">
        <v>86</v>
      </c>
      <c r="E5" s="65"/>
      <c r="F5" s="68"/>
      <c r="G5" s="64" t="s">
        <v>86</v>
      </c>
      <c r="H5" s="65"/>
      <c r="I5" s="64" t="s">
        <v>86</v>
      </c>
      <c r="J5" s="67"/>
      <c r="K5" s="67"/>
      <c r="L5" s="69"/>
      <c r="M5" s="67"/>
      <c r="N5" s="70"/>
      <c r="O5" s="70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ht="30.0" customHeight="1">
      <c r="A6" s="62" t="s">
        <v>92</v>
      </c>
      <c r="B6" s="63" t="s">
        <v>93</v>
      </c>
      <c r="C6" s="64" t="s">
        <v>86</v>
      </c>
      <c r="D6" s="65"/>
      <c r="E6" s="64" t="s">
        <v>86</v>
      </c>
      <c r="F6" s="68"/>
      <c r="G6" s="65"/>
      <c r="H6" s="64" t="s">
        <v>86</v>
      </c>
      <c r="I6" s="64" t="s">
        <v>86</v>
      </c>
      <c r="J6" s="67"/>
      <c r="K6" s="69"/>
      <c r="L6" s="67"/>
      <c r="M6" s="71"/>
      <c r="N6" s="70"/>
      <c r="O6" s="70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ht="30.0" customHeight="1">
      <c r="A7" s="62" t="s">
        <v>94</v>
      </c>
      <c r="B7" s="63" t="s">
        <v>89</v>
      </c>
      <c r="C7" s="64" t="s">
        <v>86</v>
      </c>
      <c r="D7" s="64" t="s">
        <v>86</v>
      </c>
      <c r="E7" s="65"/>
      <c r="F7" s="68"/>
      <c r="G7" s="64" t="s">
        <v>86</v>
      </c>
      <c r="H7" s="65"/>
      <c r="I7" s="64" t="s">
        <v>86</v>
      </c>
      <c r="J7" s="67"/>
      <c r="K7" s="67"/>
      <c r="L7" s="69"/>
      <c r="M7" s="67"/>
      <c r="N7" s="70"/>
      <c r="O7" s="70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30.0" customHeight="1">
      <c r="A8" s="62" t="s">
        <v>95</v>
      </c>
      <c r="B8" s="63" t="s">
        <v>96</v>
      </c>
      <c r="C8" s="64" t="s">
        <v>86</v>
      </c>
      <c r="D8" s="65"/>
      <c r="E8" s="64" t="s">
        <v>86</v>
      </c>
      <c r="F8" s="11"/>
      <c r="G8" s="65"/>
      <c r="H8" s="64" t="s">
        <v>86</v>
      </c>
      <c r="I8" s="64" t="s">
        <v>86</v>
      </c>
      <c r="J8" s="67"/>
      <c r="K8" s="69"/>
      <c r="L8" s="69"/>
      <c r="M8" s="67"/>
      <c r="N8" s="70"/>
      <c r="O8" s="70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30.0" customHeight="1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ht="30.0" customHeight="1">
      <c r="A10" s="54" t="s">
        <v>97</v>
      </c>
      <c r="B10" s="3"/>
      <c r="C10" s="56" t="s">
        <v>64</v>
      </c>
      <c r="D10" s="56" t="s">
        <v>65</v>
      </c>
      <c r="E10" s="56" t="s">
        <v>61</v>
      </c>
      <c r="F10" s="56" t="s">
        <v>64</v>
      </c>
      <c r="G10" s="56" t="s">
        <v>65</v>
      </c>
      <c r="H10" s="56" t="s">
        <v>61</v>
      </c>
      <c r="I10" s="56" t="s">
        <v>64</v>
      </c>
      <c r="J10" s="56" t="s">
        <v>65</v>
      </c>
      <c r="K10" s="56" t="s">
        <v>61</v>
      </c>
      <c r="L10" s="56" t="s">
        <v>64</v>
      </c>
      <c r="M10" s="56" t="s">
        <v>65</v>
      </c>
      <c r="N10" s="56" t="s">
        <v>61</v>
      </c>
      <c r="O10" s="56" t="s">
        <v>64</v>
      </c>
      <c r="P10" s="61"/>
      <c r="Q10" s="61"/>
      <c r="R10" s="61"/>
      <c r="S10" s="61"/>
      <c r="T10" s="61"/>
      <c r="U10" s="61"/>
      <c r="V10" s="61"/>
      <c r="W10" s="61"/>
      <c r="X10" s="61"/>
      <c r="Y10" s="72"/>
      <c r="Z10" s="72"/>
    </row>
    <row r="11" ht="30.0" customHeight="1">
      <c r="A11" s="57" t="s">
        <v>82</v>
      </c>
      <c r="B11" s="58" t="s">
        <v>83</v>
      </c>
      <c r="C11" s="59">
        <v>2.0</v>
      </c>
      <c r="D11" s="59">
        <v>3.0</v>
      </c>
      <c r="E11" s="59">
        <v>7.0</v>
      </c>
      <c r="F11" s="59">
        <v>9.0</v>
      </c>
      <c r="G11" s="59">
        <v>10.0</v>
      </c>
      <c r="H11" s="59">
        <v>14.0</v>
      </c>
      <c r="I11" s="59">
        <v>16.0</v>
      </c>
      <c r="J11" s="59">
        <v>17.0</v>
      </c>
      <c r="K11" s="59">
        <v>21.0</v>
      </c>
      <c r="L11" s="59">
        <v>23.0</v>
      </c>
      <c r="M11" s="59">
        <v>24.0</v>
      </c>
      <c r="N11" s="59">
        <v>28.0</v>
      </c>
      <c r="O11" s="59">
        <v>30.0</v>
      </c>
      <c r="P11" s="61"/>
      <c r="Q11" s="61"/>
      <c r="R11" s="61"/>
      <c r="S11" s="61"/>
      <c r="T11" s="61"/>
      <c r="U11" s="61"/>
      <c r="V11" s="61"/>
      <c r="W11" s="61"/>
      <c r="X11" s="61"/>
      <c r="Y11" s="72"/>
      <c r="Z11" s="72"/>
    </row>
    <row r="12" ht="30.0" customHeight="1">
      <c r="A12" s="62" t="s">
        <v>84</v>
      </c>
      <c r="B12" s="63" t="s">
        <v>85</v>
      </c>
      <c r="C12" s="73" t="s">
        <v>98</v>
      </c>
      <c r="D12" s="74"/>
      <c r="E12" s="70" t="s">
        <v>99</v>
      </c>
      <c r="F12" s="71" t="s">
        <v>100</v>
      </c>
      <c r="G12" s="65"/>
      <c r="H12" s="71" t="s">
        <v>100</v>
      </c>
      <c r="I12" s="71" t="s">
        <v>100</v>
      </c>
      <c r="J12" s="65"/>
      <c r="K12" s="71" t="s">
        <v>100</v>
      </c>
      <c r="L12" s="71" t="s">
        <v>100</v>
      </c>
      <c r="M12" s="65"/>
      <c r="N12" s="71" t="s">
        <v>100</v>
      </c>
      <c r="O12" s="71" t="s">
        <v>100</v>
      </c>
      <c r="P12" s="61"/>
      <c r="Q12" s="61"/>
      <c r="R12" s="61"/>
      <c r="S12" s="61"/>
      <c r="T12" s="61"/>
      <c r="U12" s="61"/>
      <c r="V12" s="61"/>
      <c r="W12" s="61"/>
      <c r="X12" s="61"/>
      <c r="Y12" s="72"/>
      <c r="Z12" s="72"/>
    </row>
    <row r="13" ht="30.0" customHeight="1">
      <c r="A13" s="62" t="s">
        <v>88</v>
      </c>
      <c r="B13" s="63" t="s">
        <v>89</v>
      </c>
      <c r="C13" s="75"/>
      <c r="D13" s="76"/>
      <c r="E13" s="65"/>
      <c r="F13" s="71" t="s">
        <v>100</v>
      </c>
      <c r="G13" s="71" t="s">
        <v>100</v>
      </c>
      <c r="H13" s="65"/>
      <c r="I13" s="71" t="s">
        <v>100</v>
      </c>
      <c r="J13" s="77" t="s">
        <v>101</v>
      </c>
      <c r="K13" s="65"/>
      <c r="L13" s="71" t="s">
        <v>100</v>
      </c>
      <c r="M13" s="71" t="s">
        <v>100</v>
      </c>
      <c r="N13" s="65"/>
      <c r="O13" s="71" t="s">
        <v>100</v>
      </c>
      <c r="P13" s="61"/>
      <c r="Q13" s="61"/>
      <c r="R13" s="61"/>
      <c r="S13" s="61"/>
      <c r="T13" s="61"/>
      <c r="U13" s="61"/>
      <c r="V13" s="61"/>
      <c r="W13" s="61"/>
      <c r="X13" s="61"/>
      <c r="Y13" s="72"/>
      <c r="Z13" s="72"/>
    </row>
    <row r="14" ht="29.25" customHeight="1">
      <c r="A14" s="62" t="s">
        <v>90</v>
      </c>
      <c r="B14" s="63" t="s">
        <v>91</v>
      </c>
      <c r="C14" s="75"/>
      <c r="D14" s="76"/>
      <c r="E14" s="71" t="s">
        <v>100</v>
      </c>
      <c r="F14" s="71" t="s">
        <v>100</v>
      </c>
      <c r="G14" s="65"/>
      <c r="H14" s="71" t="s">
        <v>100</v>
      </c>
      <c r="I14" s="71" t="s">
        <v>100</v>
      </c>
      <c r="J14" s="65"/>
      <c r="K14" s="71" t="s">
        <v>100</v>
      </c>
      <c r="L14" s="71" t="s">
        <v>100</v>
      </c>
      <c r="M14" s="65"/>
      <c r="N14" s="71" t="s">
        <v>100</v>
      </c>
      <c r="O14" s="71" t="s">
        <v>100</v>
      </c>
      <c r="P14" s="61"/>
      <c r="Q14" s="61"/>
      <c r="R14" s="61"/>
      <c r="S14" s="61"/>
      <c r="T14" s="61"/>
      <c r="U14" s="61"/>
      <c r="V14" s="61"/>
      <c r="W14" s="61"/>
      <c r="X14" s="61"/>
      <c r="Y14" s="72"/>
      <c r="Z14" s="72"/>
    </row>
    <row r="15" ht="27.75" customHeight="1">
      <c r="A15" s="62" t="s">
        <v>92</v>
      </c>
      <c r="B15" s="63" t="s">
        <v>93</v>
      </c>
      <c r="C15" s="75"/>
      <c r="D15" s="76"/>
      <c r="E15" s="71" t="s">
        <v>100</v>
      </c>
      <c r="F15" s="65"/>
      <c r="G15" s="71" t="s">
        <v>100</v>
      </c>
      <c r="H15" s="71" t="s">
        <v>100</v>
      </c>
      <c r="I15" s="65"/>
      <c r="J15" s="78" t="s">
        <v>100</v>
      </c>
      <c r="K15" s="71" t="s">
        <v>100</v>
      </c>
      <c r="L15" s="65"/>
      <c r="M15" s="71" t="s">
        <v>100</v>
      </c>
      <c r="N15" s="71" t="s">
        <v>100</v>
      </c>
      <c r="O15" s="65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72"/>
    </row>
    <row r="16" ht="26.25" customHeight="1">
      <c r="A16" s="62" t="s">
        <v>94</v>
      </c>
      <c r="B16" s="63" t="s">
        <v>89</v>
      </c>
      <c r="C16" s="75"/>
      <c r="D16" s="76"/>
      <c r="E16" s="71" t="s">
        <v>100</v>
      </c>
      <c r="F16" s="71" t="s">
        <v>100</v>
      </c>
      <c r="G16" s="65"/>
      <c r="H16" s="64" t="s">
        <v>102</v>
      </c>
      <c r="I16" s="79" t="s">
        <v>103</v>
      </c>
      <c r="J16" s="65"/>
      <c r="K16" s="71" t="s">
        <v>100</v>
      </c>
      <c r="L16" s="71" t="s">
        <v>100</v>
      </c>
      <c r="M16" s="65"/>
      <c r="N16" s="71" t="s">
        <v>100</v>
      </c>
      <c r="O16" s="71" t="s">
        <v>100</v>
      </c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72"/>
    </row>
    <row r="17" ht="51.0" customHeight="1">
      <c r="A17" s="62" t="s">
        <v>95</v>
      </c>
      <c r="B17" s="63" t="s">
        <v>96</v>
      </c>
      <c r="C17" s="80"/>
      <c r="D17" s="46"/>
      <c r="E17" s="71" t="s">
        <v>100</v>
      </c>
      <c r="F17" s="65"/>
      <c r="G17" s="71" t="s">
        <v>100</v>
      </c>
      <c r="H17" s="71" t="s">
        <v>100</v>
      </c>
      <c r="I17" s="65"/>
      <c r="J17" s="78" t="s">
        <v>100</v>
      </c>
      <c r="K17" s="71" t="s">
        <v>100</v>
      </c>
      <c r="L17" s="65"/>
      <c r="M17" s="71" t="s">
        <v>100</v>
      </c>
      <c r="N17" s="71" t="s">
        <v>100</v>
      </c>
      <c r="O17" s="65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72"/>
    </row>
    <row r="18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30.0" customHeight="1">
      <c r="A19" s="54" t="s">
        <v>104</v>
      </c>
      <c r="B19" s="3"/>
      <c r="C19" s="56" t="s">
        <v>61</v>
      </c>
      <c r="D19" s="56" t="s">
        <v>64</v>
      </c>
      <c r="E19" s="56" t="s">
        <v>65</v>
      </c>
      <c r="F19" s="56" t="s">
        <v>61</v>
      </c>
      <c r="G19" s="56" t="s">
        <v>64</v>
      </c>
      <c r="H19" s="56" t="s">
        <v>65</v>
      </c>
      <c r="I19" s="56" t="s">
        <v>61</v>
      </c>
      <c r="J19" s="56" t="s">
        <v>64</v>
      </c>
      <c r="K19" s="56" t="s">
        <v>65</v>
      </c>
      <c r="L19" s="56" t="s">
        <v>61</v>
      </c>
      <c r="M19" s="56" t="s">
        <v>64</v>
      </c>
      <c r="N19" s="56" t="s">
        <v>65</v>
      </c>
      <c r="O19" s="57"/>
      <c r="P19" s="57"/>
      <c r="Q19" s="61"/>
      <c r="R19" s="61"/>
      <c r="S19" s="61"/>
      <c r="T19" s="61"/>
      <c r="U19" s="61"/>
      <c r="V19" s="61"/>
      <c r="W19" s="61"/>
      <c r="X19" s="61"/>
      <c r="Y19" s="72"/>
      <c r="Z19" s="72"/>
    </row>
    <row r="20" ht="30.0" customHeight="1">
      <c r="A20" s="57" t="s">
        <v>82</v>
      </c>
      <c r="B20" s="58" t="s">
        <v>83</v>
      </c>
      <c r="C20" s="59">
        <v>5.0</v>
      </c>
      <c r="D20" s="59">
        <v>7.0</v>
      </c>
      <c r="E20" s="59">
        <v>8.0</v>
      </c>
      <c r="F20" s="59">
        <v>12.0</v>
      </c>
      <c r="G20" s="59">
        <v>14.0</v>
      </c>
      <c r="H20" s="59">
        <v>15.0</v>
      </c>
      <c r="I20" s="59">
        <v>19.0</v>
      </c>
      <c r="J20" s="59">
        <v>21.0</v>
      </c>
      <c r="K20" s="59">
        <v>22.0</v>
      </c>
      <c r="L20" s="59">
        <v>26.0</v>
      </c>
      <c r="M20" s="59">
        <v>28.0</v>
      </c>
      <c r="N20" s="59">
        <v>29.0</v>
      </c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72"/>
      <c r="Z20" s="72"/>
    </row>
    <row r="21" ht="30.0" customHeight="1">
      <c r="A21" s="62" t="s">
        <v>84</v>
      </c>
      <c r="B21" s="63" t="s">
        <v>85</v>
      </c>
      <c r="C21" s="71" t="s">
        <v>100</v>
      </c>
      <c r="D21" s="59" t="s">
        <v>102</v>
      </c>
      <c r="E21" s="81"/>
      <c r="F21" s="79" t="s">
        <v>105</v>
      </c>
      <c r="G21" s="79" t="s">
        <v>105</v>
      </c>
      <c r="H21" s="81"/>
      <c r="I21" s="82" t="s">
        <v>100</v>
      </c>
      <c r="J21" s="79" t="s">
        <v>105</v>
      </c>
      <c r="K21" s="81"/>
      <c r="L21" s="59" t="s">
        <v>106</v>
      </c>
      <c r="M21" s="59" t="s">
        <v>106</v>
      </c>
      <c r="N21" s="83"/>
      <c r="O21" s="84"/>
      <c r="P21" s="85"/>
      <c r="Q21" s="61"/>
      <c r="R21" s="61"/>
      <c r="S21" s="61"/>
      <c r="T21" s="61"/>
      <c r="U21" s="61"/>
      <c r="V21" s="61"/>
      <c r="W21" s="61"/>
      <c r="X21" s="61"/>
      <c r="Y21" s="72"/>
      <c r="Z21" s="72"/>
    </row>
    <row r="22" ht="30.0" customHeight="1">
      <c r="A22" s="62" t="s">
        <v>88</v>
      </c>
      <c r="B22" s="63" t="s">
        <v>89</v>
      </c>
      <c r="C22" s="86"/>
      <c r="D22" s="59" t="s">
        <v>102</v>
      </c>
      <c r="E22" s="78" t="s">
        <v>100</v>
      </c>
      <c r="F22" s="87"/>
      <c r="G22" s="59" t="s">
        <v>106</v>
      </c>
      <c r="H22" s="79" t="s">
        <v>105</v>
      </c>
      <c r="I22" s="87"/>
      <c r="J22" s="79" t="s">
        <v>105</v>
      </c>
      <c r="K22" s="79" t="s">
        <v>105</v>
      </c>
      <c r="L22" s="87"/>
      <c r="M22" s="59" t="s">
        <v>106</v>
      </c>
      <c r="N22" s="78" t="s">
        <v>106</v>
      </c>
      <c r="O22" s="88"/>
      <c r="P22" s="61"/>
      <c r="Q22" s="61"/>
      <c r="R22" s="61"/>
      <c r="S22" s="61"/>
      <c r="T22" s="61"/>
      <c r="U22" s="61"/>
      <c r="V22" s="61"/>
      <c r="W22" s="61"/>
      <c r="X22" s="61"/>
      <c r="Y22" s="72"/>
      <c r="Z22" s="72"/>
    </row>
    <row r="23" ht="29.25" customHeight="1">
      <c r="A23" s="62" t="s">
        <v>90</v>
      </c>
      <c r="B23" s="63" t="s">
        <v>91</v>
      </c>
      <c r="C23" s="71" t="s">
        <v>100</v>
      </c>
      <c r="D23" s="59" t="s">
        <v>107</v>
      </c>
      <c r="E23" s="65"/>
      <c r="F23" s="59" t="s">
        <v>106</v>
      </c>
      <c r="G23" s="79" t="s">
        <v>105</v>
      </c>
      <c r="H23" s="65"/>
      <c r="I23" s="79" t="s">
        <v>105</v>
      </c>
      <c r="J23" s="79" t="s">
        <v>105</v>
      </c>
      <c r="K23" s="65"/>
      <c r="L23" s="59" t="s">
        <v>106</v>
      </c>
      <c r="M23" s="59" t="s">
        <v>106</v>
      </c>
      <c r="N23" s="65"/>
      <c r="O23" s="84"/>
      <c r="P23" s="85"/>
      <c r="Q23" s="61"/>
      <c r="R23" s="61"/>
      <c r="S23" s="61"/>
      <c r="T23" s="61"/>
      <c r="U23" s="61"/>
      <c r="V23" s="61"/>
      <c r="W23" s="61"/>
      <c r="X23" s="61"/>
      <c r="Y23" s="72"/>
      <c r="Z23" s="72"/>
    </row>
    <row r="24" ht="61.5" customHeight="1">
      <c r="A24" s="62" t="s">
        <v>92</v>
      </c>
      <c r="B24" s="63" t="s">
        <v>93</v>
      </c>
      <c r="C24" s="71" t="s">
        <v>100</v>
      </c>
      <c r="D24" s="87"/>
      <c r="E24" s="79" t="s">
        <v>105</v>
      </c>
      <c r="F24" s="67"/>
      <c r="G24" s="87"/>
      <c r="H24" s="79"/>
      <c r="I24" s="71" t="s">
        <v>106</v>
      </c>
      <c r="J24" s="87"/>
      <c r="K24" s="79"/>
      <c r="L24" s="71" t="s">
        <v>106</v>
      </c>
      <c r="M24" s="87"/>
      <c r="N24" s="79"/>
      <c r="O24" s="84"/>
      <c r="P24" s="85"/>
      <c r="Q24" s="61"/>
      <c r="R24" s="61"/>
      <c r="S24" s="61"/>
      <c r="T24" s="61"/>
      <c r="U24" s="61"/>
      <c r="V24" s="61"/>
      <c r="W24" s="61"/>
      <c r="X24" s="61"/>
      <c r="Y24" s="61"/>
      <c r="Z24" s="72"/>
    </row>
    <row r="25" ht="54.75" customHeight="1">
      <c r="A25" s="62" t="s">
        <v>94</v>
      </c>
      <c r="B25" s="63" t="s">
        <v>89</v>
      </c>
      <c r="C25" s="71" t="s">
        <v>100</v>
      </c>
      <c r="D25" s="59" t="s">
        <v>108</v>
      </c>
      <c r="E25" s="87"/>
      <c r="F25" s="71" t="s">
        <v>106</v>
      </c>
      <c r="G25" s="59"/>
      <c r="H25" s="87"/>
      <c r="I25" s="60"/>
      <c r="J25" s="59"/>
      <c r="K25" s="87"/>
      <c r="L25" s="71" t="s">
        <v>106</v>
      </c>
      <c r="M25" s="71" t="s">
        <v>106</v>
      </c>
      <c r="N25" s="87"/>
      <c r="O25" s="88"/>
      <c r="P25" s="85"/>
      <c r="Q25" s="61"/>
      <c r="R25" s="61"/>
      <c r="S25" s="61"/>
      <c r="T25" s="61"/>
      <c r="U25" s="61"/>
      <c r="V25" s="61"/>
      <c r="W25" s="61"/>
      <c r="X25" s="61"/>
      <c r="Y25" s="61"/>
      <c r="Z25" s="72"/>
    </row>
    <row r="26" ht="26.25" customHeight="1">
      <c r="A26" s="62" t="s">
        <v>95</v>
      </c>
      <c r="B26" s="63" t="s">
        <v>96</v>
      </c>
      <c r="C26" s="71" t="s">
        <v>100</v>
      </c>
      <c r="D26" s="65"/>
      <c r="E26" s="71" t="s">
        <v>106</v>
      </c>
      <c r="F26" s="60"/>
      <c r="G26" s="65"/>
      <c r="H26" s="79"/>
      <c r="I26" s="60"/>
      <c r="J26" s="65"/>
      <c r="K26" s="79"/>
      <c r="L26" s="71" t="s">
        <v>106</v>
      </c>
      <c r="M26" s="65"/>
      <c r="N26" s="71" t="s">
        <v>106</v>
      </c>
      <c r="O26" s="88"/>
      <c r="P26" s="85"/>
      <c r="Q26" s="61"/>
      <c r="R26" s="61"/>
      <c r="S26" s="61"/>
      <c r="T26" s="61"/>
      <c r="U26" s="61"/>
      <c r="V26" s="61"/>
      <c r="W26" s="61"/>
      <c r="X26" s="61"/>
      <c r="Y26" s="61"/>
      <c r="Z26" s="72"/>
    </row>
    <row r="27" ht="26.25" customHeight="1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26.25" customHeight="1">
      <c r="A28" s="54" t="s">
        <v>109</v>
      </c>
      <c r="B28" s="3"/>
      <c r="C28" s="56" t="s">
        <v>61</v>
      </c>
      <c r="D28" s="56" t="s">
        <v>64</v>
      </c>
      <c r="E28" s="56" t="s">
        <v>65</v>
      </c>
      <c r="F28" s="56" t="s">
        <v>61</v>
      </c>
      <c r="G28" s="56" t="s">
        <v>64</v>
      </c>
      <c r="H28" s="56" t="s">
        <v>65</v>
      </c>
      <c r="I28" s="89" t="s">
        <v>61</v>
      </c>
      <c r="J28" s="89" t="s">
        <v>64</v>
      </c>
      <c r="K28" s="89" t="s">
        <v>65</v>
      </c>
      <c r="L28" s="56" t="s">
        <v>61</v>
      </c>
      <c r="M28" s="56" t="s">
        <v>64</v>
      </c>
      <c r="N28" s="56" t="s">
        <v>65</v>
      </c>
      <c r="O28" s="56" t="s">
        <v>61</v>
      </c>
      <c r="P28" s="61"/>
      <c r="Q28" s="61"/>
      <c r="R28" s="61"/>
      <c r="S28" s="61"/>
      <c r="T28" s="61"/>
      <c r="U28" s="61"/>
      <c r="V28" s="61"/>
      <c r="W28" s="61"/>
      <c r="X28" s="61"/>
    </row>
    <row r="29" ht="26.25" customHeight="1">
      <c r="A29" s="57" t="s">
        <v>82</v>
      </c>
      <c r="B29" s="58" t="s">
        <v>83</v>
      </c>
      <c r="C29" s="59">
        <v>2.0</v>
      </c>
      <c r="D29" s="59">
        <v>4.0</v>
      </c>
      <c r="E29" s="59">
        <v>5.0</v>
      </c>
      <c r="F29" s="59">
        <v>9.0</v>
      </c>
      <c r="G29" s="59">
        <v>11.0</v>
      </c>
      <c r="H29" s="59">
        <v>12.0</v>
      </c>
      <c r="I29" s="59">
        <v>16.0</v>
      </c>
      <c r="J29" s="59">
        <v>18.0</v>
      </c>
      <c r="K29" s="59">
        <v>19.0</v>
      </c>
      <c r="L29" s="59">
        <v>23.0</v>
      </c>
      <c r="M29" s="59">
        <v>25.0</v>
      </c>
      <c r="N29" s="59">
        <v>26.0</v>
      </c>
      <c r="O29" s="59">
        <v>30.0</v>
      </c>
      <c r="P29" s="61"/>
      <c r="Q29" s="61"/>
      <c r="R29" s="61"/>
      <c r="S29" s="61"/>
      <c r="T29" s="61"/>
      <c r="U29" s="61"/>
      <c r="V29" s="61"/>
    </row>
    <row r="30" ht="26.25" customHeight="1">
      <c r="A30" s="62" t="s">
        <v>84</v>
      </c>
      <c r="B30" s="63" t="s">
        <v>85</v>
      </c>
      <c r="C30" s="71" t="s">
        <v>106</v>
      </c>
      <c r="D30" s="71" t="s">
        <v>106</v>
      </c>
      <c r="E30" s="65"/>
      <c r="F30" s="82" t="s">
        <v>100</v>
      </c>
      <c r="G30" s="90">
        <v>46260.0</v>
      </c>
      <c r="H30" s="65"/>
      <c r="I30" s="71" t="s">
        <v>106</v>
      </c>
      <c r="J30" s="71" t="s">
        <v>106</v>
      </c>
      <c r="K30" s="65"/>
      <c r="L30" s="78" t="s">
        <v>110</v>
      </c>
      <c r="M30" s="71" t="s">
        <v>111</v>
      </c>
      <c r="N30" s="65"/>
      <c r="O30" s="90">
        <v>46260.0</v>
      </c>
      <c r="P30" s="61"/>
      <c r="Q30" s="61"/>
      <c r="R30" s="61"/>
      <c r="S30" s="61"/>
      <c r="T30" s="61"/>
      <c r="U30" s="61"/>
      <c r="V30" s="61"/>
      <c r="W30" s="61"/>
      <c r="X30" s="61"/>
    </row>
    <row r="31" ht="26.25" customHeight="1">
      <c r="A31" s="62" t="s">
        <v>88</v>
      </c>
      <c r="B31" s="63" t="s">
        <v>89</v>
      </c>
      <c r="C31" s="65"/>
      <c r="D31" s="71" t="s">
        <v>106</v>
      </c>
      <c r="E31" s="79" t="s">
        <v>105</v>
      </c>
      <c r="F31" s="65"/>
      <c r="G31" s="71" t="s">
        <v>106</v>
      </c>
      <c r="H31" s="71" t="s">
        <v>106</v>
      </c>
      <c r="I31" s="65"/>
      <c r="J31" s="71" t="s">
        <v>106</v>
      </c>
      <c r="K31" s="71" t="s">
        <v>106</v>
      </c>
      <c r="L31" s="65"/>
      <c r="M31" s="71" t="s">
        <v>111</v>
      </c>
      <c r="N31" s="79" t="s">
        <v>105</v>
      </c>
      <c r="O31" s="65"/>
      <c r="P31" s="61"/>
      <c r="Q31" s="61"/>
      <c r="R31" s="61"/>
      <c r="S31" s="61"/>
      <c r="T31" s="61"/>
      <c r="U31" s="61"/>
      <c r="V31" s="61"/>
      <c r="W31" s="61"/>
      <c r="X31" s="61"/>
    </row>
    <row r="32" ht="26.25" customHeight="1">
      <c r="A32" s="62" t="s">
        <v>90</v>
      </c>
      <c r="B32" s="63" t="s">
        <v>91</v>
      </c>
      <c r="C32" s="71" t="s">
        <v>106</v>
      </c>
      <c r="D32" s="71" t="s">
        <v>106</v>
      </c>
      <c r="E32" s="65"/>
      <c r="F32" s="71" t="s">
        <v>106</v>
      </c>
      <c r="G32" s="71" t="s">
        <v>106</v>
      </c>
      <c r="H32" s="65"/>
      <c r="I32" s="71" t="s">
        <v>106</v>
      </c>
      <c r="J32" s="71" t="s">
        <v>106</v>
      </c>
      <c r="K32" s="65"/>
      <c r="L32" s="78" t="s">
        <v>110</v>
      </c>
      <c r="M32" s="71" t="s">
        <v>111</v>
      </c>
      <c r="N32" s="65"/>
      <c r="O32" s="71" t="s">
        <v>106</v>
      </c>
      <c r="P32" s="61"/>
      <c r="Q32" s="61"/>
      <c r="R32" s="61"/>
      <c r="S32" s="61"/>
      <c r="T32" s="61"/>
      <c r="U32" s="61"/>
      <c r="V32" s="61"/>
      <c r="W32" s="61"/>
      <c r="X32" s="61"/>
    </row>
    <row r="33" ht="26.25" customHeight="1">
      <c r="A33" s="62" t="s">
        <v>92</v>
      </c>
      <c r="B33" s="63" t="s">
        <v>93</v>
      </c>
      <c r="C33" s="71" t="s">
        <v>106</v>
      </c>
      <c r="D33" s="65"/>
      <c r="E33" s="90">
        <v>46260.0</v>
      </c>
      <c r="F33" s="90">
        <v>46260.0</v>
      </c>
      <c r="G33" s="65"/>
      <c r="H33" s="71" t="s">
        <v>106</v>
      </c>
      <c r="I33" s="71" t="s">
        <v>106</v>
      </c>
      <c r="J33" s="65"/>
      <c r="K33" s="71" t="s">
        <v>106</v>
      </c>
      <c r="L33" s="78" t="s">
        <v>110</v>
      </c>
      <c r="M33" s="65"/>
      <c r="N33" s="90">
        <v>46260.0</v>
      </c>
      <c r="O33" s="90">
        <v>46260.0</v>
      </c>
      <c r="P33" s="61"/>
      <c r="Q33" s="61"/>
      <c r="R33" s="61"/>
      <c r="S33" s="61"/>
      <c r="T33" s="61"/>
      <c r="U33" s="61"/>
      <c r="V33" s="61"/>
      <c r="W33" s="61"/>
      <c r="X33" s="61"/>
    </row>
    <row r="34" ht="26.25" customHeight="1">
      <c r="A34" s="62" t="s">
        <v>94</v>
      </c>
      <c r="B34" s="63" t="s">
        <v>89</v>
      </c>
      <c r="C34" s="71" t="s">
        <v>106</v>
      </c>
      <c r="D34" s="71" t="s">
        <v>106</v>
      </c>
      <c r="E34" s="65"/>
      <c r="F34" s="71" t="s">
        <v>106</v>
      </c>
      <c r="G34" s="71" t="s">
        <v>106</v>
      </c>
      <c r="H34" s="65"/>
      <c r="I34" s="71" t="s">
        <v>106</v>
      </c>
      <c r="J34" s="71" t="s">
        <v>106</v>
      </c>
      <c r="K34" s="65"/>
      <c r="L34" s="78" t="s">
        <v>112</v>
      </c>
      <c r="M34" s="79" t="s">
        <v>105</v>
      </c>
      <c r="N34" s="65"/>
      <c r="O34" s="71" t="s">
        <v>106</v>
      </c>
      <c r="P34" s="61"/>
      <c r="Q34" s="61"/>
      <c r="R34" s="61"/>
      <c r="S34" s="61"/>
      <c r="T34" s="61"/>
      <c r="U34" s="61"/>
      <c r="V34" s="61"/>
      <c r="W34" s="61"/>
      <c r="X34" s="61"/>
    </row>
    <row r="35" ht="26.25" customHeight="1">
      <c r="A35" s="62" t="s">
        <v>95</v>
      </c>
      <c r="B35" s="63" t="s">
        <v>96</v>
      </c>
      <c r="C35" s="71" t="s">
        <v>106</v>
      </c>
      <c r="D35" s="65"/>
      <c r="E35" s="79" t="s">
        <v>105</v>
      </c>
      <c r="F35" s="71" t="s">
        <v>106</v>
      </c>
      <c r="G35" s="65"/>
      <c r="H35" s="71" t="s">
        <v>106</v>
      </c>
      <c r="I35" s="71" t="s">
        <v>106</v>
      </c>
      <c r="J35" s="65"/>
      <c r="K35" s="71" t="s">
        <v>106</v>
      </c>
      <c r="L35" s="78" t="s">
        <v>112</v>
      </c>
      <c r="M35" s="65"/>
      <c r="N35" s="71" t="s">
        <v>106</v>
      </c>
      <c r="O35" s="71" t="s">
        <v>106</v>
      </c>
      <c r="P35" s="61"/>
      <c r="Q35" s="61"/>
      <c r="R35" s="61"/>
      <c r="S35" s="61"/>
      <c r="T35" s="61"/>
      <c r="U35" s="61"/>
      <c r="V35" s="61"/>
      <c r="W35" s="61"/>
      <c r="X35" s="61"/>
    </row>
    <row r="36" ht="26.25" customHeight="1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26.25" customHeight="1">
      <c r="A37" s="54" t="s">
        <v>113</v>
      </c>
      <c r="B37" s="3"/>
      <c r="C37" s="56" t="s">
        <v>64</v>
      </c>
      <c r="D37" s="56" t="s">
        <v>65</v>
      </c>
      <c r="E37" s="89" t="s">
        <v>61</v>
      </c>
      <c r="F37" s="89" t="s">
        <v>64</v>
      </c>
      <c r="G37" s="89" t="s">
        <v>65</v>
      </c>
      <c r="H37" s="89" t="s">
        <v>61</v>
      </c>
      <c r="I37" s="91" t="s">
        <v>64</v>
      </c>
      <c r="J37" s="56" t="s">
        <v>65</v>
      </c>
      <c r="K37" s="61"/>
      <c r="L37" s="61"/>
      <c r="M37" s="61"/>
      <c r="N37" s="61"/>
      <c r="O37" s="61"/>
      <c r="P37" s="61"/>
      <c r="Q37" s="61"/>
      <c r="R37" s="61"/>
      <c r="S37" s="72"/>
      <c r="T37" s="72"/>
      <c r="U37" s="72"/>
      <c r="V37" s="72"/>
      <c r="W37" s="72"/>
      <c r="X37" s="72"/>
      <c r="Y37" s="72"/>
    </row>
    <row r="38" ht="26.25" customHeight="1">
      <c r="A38" s="57" t="s">
        <v>82</v>
      </c>
      <c r="B38" s="58" t="s">
        <v>83</v>
      </c>
      <c r="C38" s="59">
        <v>2.0</v>
      </c>
      <c r="D38" s="59">
        <v>3.0</v>
      </c>
      <c r="E38" s="59">
        <v>21.0</v>
      </c>
      <c r="F38" s="59">
        <v>23.0</v>
      </c>
      <c r="G38" s="59">
        <v>24.0</v>
      </c>
      <c r="H38" s="59">
        <v>28.0</v>
      </c>
      <c r="I38" s="60">
        <v>30.0</v>
      </c>
      <c r="J38" s="59">
        <v>31.0</v>
      </c>
      <c r="K38" s="61"/>
      <c r="L38" s="61"/>
      <c r="M38" s="61"/>
      <c r="N38" s="61"/>
      <c r="O38" s="61"/>
      <c r="P38" s="61"/>
      <c r="Q38" s="61"/>
      <c r="R38" s="61"/>
      <c r="S38" s="72"/>
      <c r="T38" s="72"/>
      <c r="U38" s="72"/>
      <c r="V38" s="72"/>
      <c r="W38" s="72"/>
      <c r="X38" s="72"/>
      <c r="Y38" s="72"/>
    </row>
    <row r="39" ht="26.25" customHeight="1">
      <c r="A39" s="62" t="s">
        <v>84</v>
      </c>
      <c r="B39" s="63" t="s">
        <v>85</v>
      </c>
      <c r="C39" s="71" t="s">
        <v>106</v>
      </c>
      <c r="D39" s="92"/>
      <c r="E39" s="90">
        <v>46260.0</v>
      </c>
      <c r="F39" s="93" t="s">
        <v>114</v>
      </c>
      <c r="G39" s="92"/>
      <c r="H39" s="94" t="s">
        <v>115</v>
      </c>
      <c r="I39" s="59" t="s">
        <v>106</v>
      </c>
      <c r="J39" s="92"/>
      <c r="K39" s="61"/>
      <c r="L39" s="61"/>
      <c r="M39" s="61"/>
      <c r="N39" s="61"/>
      <c r="O39" s="61"/>
      <c r="P39" s="61"/>
      <c r="Q39" s="61"/>
      <c r="R39" s="61"/>
      <c r="S39" s="72"/>
      <c r="T39" s="72"/>
      <c r="U39" s="72"/>
      <c r="V39" s="72"/>
      <c r="W39" s="72"/>
      <c r="X39" s="72"/>
      <c r="Y39" s="72"/>
    </row>
    <row r="40" ht="26.25" customHeight="1">
      <c r="A40" s="62" t="s">
        <v>88</v>
      </c>
      <c r="B40" s="63" t="s">
        <v>89</v>
      </c>
      <c r="C40" s="71" t="s">
        <v>106</v>
      </c>
      <c r="D40" s="71" t="s">
        <v>116</v>
      </c>
      <c r="E40" s="95"/>
      <c r="F40" s="96" t="s">
        <v>114</v>
      </c>
      <c r="G40" s="96" t="s">
        <v>117</v>
      </c>
      <c r="H40" s="68"/>
      <c r="I40" s="96" t="s">
        <v>118</v>
      </c>
      <c r="J40" s="97"/>
      <c r="K40" s="61"/>
      <c r="L40" s="61"/>
      <c r="M40" s="61"/>
      <c r="N40" s="61"/>
      <c r="O40" s="61"/>
      <c r="P40" s="61"/>
      <c r="Q40" s="61"/>
      <c r="R40" s="61"/>
      <c r="S40" s="72"/>
      <c r="T40" s="72"/>
      <c r="U40" s="72"/>
      <c r="V40" s="72"/>
      <c r="W40" s="72"/>
      <c r="X40" s="72"/>
      <c r="Y40" s="72"/>
    </row>
    <row r="41" ht="26.25" customHeight="1">
      <c r="A41" s="62" t="s">
        <v>90</v>
      </c>
      <c r="B41" s="63" t="s">
        <v>91</v>
      </c>
      <c r="C41" s="71" t="s">
        <v>106</v>
      </c>
      <c r="D41" s="65"/>
      <c r="E41" s="71" t="s">
        <v>119</v>
      </c>
      <c r="F41" s="78" t="s">
        <v>120</v>
      </c>
      <c r="G41" s="65"/>
      <c r="H41" s="68"/>
      <c r="I41" s="67"/>
      <c r="J41" s="65"/>
      <c r="K41" s="61"/>
      <c r="L41" s="61"/>
      <c r="M41" s="61"/>
      <c r="N41" s="61"/>
      <c r="O41" s="61"/>
      <c r="P41" s="61"/>
      <c r="Q41" s="61"/>
      <c r="R41" s="61"/>
      <c r="S41" s="72"/>
      <c r="T41" s="72"/>
      <c r="U41" s="72"/>
      <c r="V41" s="72"/>
      <c r="W41" s="72"/>
      <c r="X41" s="72"/>
      <c r="Y41" s="72"/>
    </row>
    <row r="42" ht="26.25" customHeight="1">
      <c r="A42" s="62" t="s">
        <v>92</v>
      </c>
      <c r="B42" s="63" t="s">
        <v>93</v>
      </c>
      <c r="C42" s="65"/>
      <c r="D42" s="79" t="s">
        <v>105</v>
      </c>
      <c r="E42" s="90">
        <v>46260.0</v>
      </c>
      <c r="F42" s="65"/>
      <c r="G42" s="93" t="s">
        <v>102</v>
      </c>
      <c r="H42" s="68"/>
      <c r="I42" s="65"/>
      <c r="J42" s="90">
        <v>46260.0</v>
      </c>
      <c r="K42" s="61"/>
      <c r="L42" s="61"/>
      <c r="M42" s="61"/>
      <c r="N42" s="61"/>
      <c r="O42" s="61"/>
      <c r="P42" s="61"/>
      <c r="Q42" s="61"/>
      <c r="R42" s="61"/>
      <c r="S42" s="72"/>
      <c r="T42" s="72"/>
      <c r="U42" s="72"/>
      <c r="V42" s="72"/>
      <c r="W42" s="72"/>
      <c r="X42" s="72"/>
      <c r="Y42" s="72"/>
    </row>
    <row r="43" ht="26.25" customHeight="1">
      <c r="A43" s="62" t="s">
        <v>94</v>
      </c>
      <c r="B43" s="63" t="s">
        <v>89</v>
      </c>
      <c r="C43" s="71" t="s">
        <v>106</v>
      </c>
      <c r="D43" s="65"/>
      <c r="E43" s="71" t="s">
        <v>121</v>
      </c>
      <c r="F43" s="93" t="s">
        <v>117</v>
      </c>
      <c r="G43" s="65"/>
      <c r="H43" s="68"/>
      <c r="I43" s="71" t="s">
        <v>106</v>
      </c>
      <c r="J43" s="65"/>
      <c r="K43" s="64"/>
      <c r="L43" s="61"/>
      <c r="M43" s="61"/>
      <c r="N43" s="61"/>
      <c r="O43" s="61"/>
      <c r="P43" s="61"/>
      <c r="Q43" s="61"/>
      <c r="R43" s="61"/>
      <c r="S43" s="72"/>
      <c r="T43" s="72"/>
      <c r="U43" s="72"/>
      <c r="V43" s="72"/>
      <c r="W43" s="72"/>
      <c r="X43" s="72"/>
      <c r="Y43" s="72"/>
    </row>
    <row r="44" ht="26.25" customHeight="1">
      <c r="A44" s="62" t="s">
        <v>95</v>
      </c>
      <c r="B44" s="63" t="s">
        <v>96</v>
      </c>
      <c r="C44" s="98"/>
      <c r="D44" s="79" t="s">
        <v>105</v>
      </c>
      <c r="E44" s="71" t="s">
        <v>121</v>
      </c>
      <c r="F44" s="98"/>
      <c r="G44" s="96" t="s">
        <v>117</v>
      </c>
      <c r="H44" s="11"/>
      <c r="I44" s="98"/>
      <c r="J44" s="67"/>
      <c r="K44" s="61"/>
      <c r="L44" s="61"/>
      <c r="M44" s="61"/>
      <c r="N44" s="61"/>
      <c r="O44" s="61"/>
      <c r="P44" s="61"/>
      <c r="Q44" s="61"/>
      <c r="R44" s="61"/>
      <c r="S44" s="72"/>
      <c r="T44" s="72"/>
      <c r="U44" s="72"/>
      <c r="V44" s="72"/>
      <c r="W44" s="72"/>
      <c r="X44" s="72"/>
      <c r="Y44" s="72"/>
    </row>
    <row r="45" ht="26.25" customHeight="1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2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26.25" customHeight="1">
      <c r="A46" s="54" t="s">
        <v>122</v>
      </c>
      <c r="B46" s="3"/>
      <c r="C46" s="56" t="s">
        <v>61</v>
      </c>
      <c r="D46" s="56" t="s">
        <v>64</v>
      </c>
      <c r="E46" s="56" t="s">
        <v>65</v>
      </c>
      <c r="F46" s="56" t="s">
        <v>61</v>
      </c>
      <c r="G46" s="56" t="s">
        <v>64</v>
      </c>
      <c r="H46" s="56" t="s">
        <v>65</v>
      </c>
      <c r="I46" s="89" t="s">
        <v>61</v>
      </c>
      <c r="J46" s="89" t="s">
        <v>64</v>
      </c>
      <c r="K46" s="89" t="s">
        <v>65</v>
      </c>
      <c r="L46" s="56" t="s">
        <v>61</v>
      </c>
      <c r="M46" s="56" t="s">
        <v>64</v>
      </c>
      <c r="N46" s="56" t="s">
        <v>65</v>
      </c>
      <c r="O46" s="99"/>
      <c r="P46" s="99"/>
      <c r="Q46" s="61"/>
      <c r="R46" s="61"/>
      <c r="S46" s="61"/>
      <c r="T46" s="61"/>
      <c r="U46" s="61"/>
      <c r="V46" s="61"/>
      <c r="W46" s="61"/>
      <c r="X46" s="72"/>
      <c r="Y46" s="72"/>
    </row>
    <row r="47" ht="26.25" customHeight="1">
      <c r="A47" s="57" t="s">
        <v>82</v>
      </c>
      <c r="B47" s="58" t="s">
        <v>83</v>
      </c>
      <c r="C47" s="59">
        <v>4.0</v>
      </c>
      <c r="D47" s="59">
        <v>6.0</v>
      </c>
      <c r="E47" s="59">
        <v>7.0</v>
      </c>
      <c r="F47" s="59">
        <v>11.0</v>
      </c>
      <c r="G47" s="59">
        <v>13.0</v>
      </c>
      <c r="H47" s="59">
        <v>14.0</v>
      </c>
      <c r="I47" s="59">
        <v>18.0</v>
      </c>
      <c r="J47" s="59">
        <v>20.0</v>
      </c>
      <c r="K47" s="59">
        <v>21.0</v>
      </c>
      <c r="L47" s="59">
        <v>25.0</v>
      </c>
      <c r="M47" s="59">
        <v>27.0</v>
      </c>
      <c r="N47" s="59">
        <v>28.0</v>
      </c>
      <c r="O47" s="100"/>
      <c r="P47" s="88"/>
      <c r="Q47" s="61"/>
      <c r="R47" s="61"/>
      <c r="S47" s="61"/>
      <c r="T47" s="61"/>
      <c r="U47" s="61"/>
      <c r="V47" s="61"/>
      <c r="W47" s="61"/>
      <c r="X47" s="61"/>
      <c r="Y47" s="61"/>
    </row>
    <row r="48" ht="26.25" customHeight="1">
      <c r="A48" s="62" t="s">
        <v>84</v>
      </c>
      <c r="B48" s="62" t="s">
        <v>123</v>
      </c>
      <c r="C48" s="71" t="s">
        <v>106</v>
      </c>
      <c r="D48" s="71" t="s">
        <v>106</v>
      </c>
      <c r="E48" s="65"/>
      <c r="F48" s="101" t="s">
        <v>106</v>
      </c>
      <c r="G48" s="79" t="s">
        <v>102</v>
      </c>
      <c r="H48" s="65"/>
      <c r="I48" s="79" t="s">
        <v>102</v>
      </c>
      <c r="J48" s="71" t="s">
        <v>106</v>
      </c>
      <c r="K48" s="65"/>
      <c r="L48" s="71" t="s">
        <v>106</v>
      </c>
      <c r="M48" s="79" t="s">
        <v>102</v>
      </c>
      <c r="N48" s="65"/>
      <c r="O48" s="102"/>
      <c r="P48" s="103"/>
      <c r="Q48" s="61"/>
      <c r="R48" s="61"/>
      <c r="S48" s="61"/>
      <c r="T48" s="61"/>
      <c r="U48" s="61"/>
      <c r="V48" s="61"/>
      <c r="W48" s="61"/>
      <c r="X48" s="72"/>
      <c r="Y48" s="72"/>
    </row>
    <row r="49" ht="26.25" customHeight="1">
      <c r="A49" s="62" t="s">
        <v>88</v>
      </c>
      <c r="B49" s="62" t="s">
        <v>124</v>
      </c>
      <c r="C49" s="65"/>
      <c r="D49" s="71" t="s">
        <v>106</v>
      </c>
      <c r="E49" s="78" t="s">
        <v>106</v>
      </c>
      <c r="F49" s="65"/>
      <c r="G49" s="79" t="s">
        <v>102</v>
      </c>
      <c r="H49" s="79" t="s">
        <v>102</v>
      </c>
      <c r="I49" s="65"/>
      <c r="J49" s="71" t="s">
        <v>106</v>
      </c>
      <c r="K49" s="71" t="s">
        <v>106</v>
      </c>
      <c r="L49" s="65"/>
      <c r="M49" s="79" t="s">
        <v>102</v>
      </c>
      <c r="N49" s="79" t="s">
        <v>105</v>
      </c>
      <c r="O49" s="84"/>
      <c r="Q49" s="61"/>
      <c r="R49" s="61"/>
      <c r="S49" s="61"/>
      <c r="T49" s="61"/>
      <c r="U49" s="61"/>
      <c r="V49" s="61"/>
      <c r="W49" s="61"/>
      <c r="X49" s="72"/>
      <c r="Y49" s="72"/>
    </row>
    <row r="50" ht="26.25" customHeight="1">
      <c r="A50" s="62" t="s">
        <v>90</v>
      </c>
      <c r="B50" s="62" t="s">
        <v>125</v>
      </c>
      <c r="C50" s="71" t="s">
        <v>106</v>
      </c>
      <c r="D50" s="71" t="s">
        <v>106</v>
      </c>
      <c r="E50" s="65"/>
      <c r="F50" s="71" t="s">
        <v>106</v>
      </c>
      <c r="G50" s="79" t="s">
        <v>102</v>
      </c>
      <c r="H50" s="65"/>
      <c r="I50" s="79" t="s">
        <v>102</v>
      </c>
      <c r="J50" s="71" t="s">
        <v>106</v>
      </c>
      <c r="K50" s="65"/>
      <c r="L50" s="79" t="s">
        <v>102</v>
      </c>
      <c r="M50" s="79" t="s">
        <v>105</v>
      </c>
      <c r="N50" s="65"/>
      <c r="O50" s="104"/>
      <c r="Q50" s="61"/>
      <c r="R50" s="61"/>
      <c r="S50" s="61"/>
      <c r="T50" s="61"/>
      <c r="U50" s="61"/>
      <c r="V50" s="61"/>
      <c r="W50" s="61"/>
      <c r="X50" s="72"/>
      <c r="Y50" s="72"/>
    </row>
    <row r="51" ht="26.25" customHeight="1">
      <c r="A51" s="62" t="s">
        <v>92</v>
      </c>
      <c r="B51" s="62" t="s">
        <v>124</v>
      </c>
      <c r="C51" s="71" t="s">
        <v>106</v>
      </c>
      <c r="D51" s="65"/>
      <c r="E51" s="79" t="s">
        <v>105</v>
      </c>
      <c r="F51" s="79" t="s">
        <v>105</v>
      </c>
      <c r="G51" s="65"/>
      <c r="H51" s="71" t="s">
        <v>106</v>
      </c>
      <c r="I51" s="79" t="s">
        <v>102</v>
      </c>
      <c r="J51" s="65"/>
      <c r="K51" s="71" t="s">
        <v>106</v>
      </c>
      <c r="L51" s="71" t="s">
        <v>106</v>
      </c>
      <c r="M51" s="65"/>
      <c r="N51" s="79" t="s">
        <v>105</v>
      </c>
      <c r="O51" s="102"/>
      <c r="Q51" s="61"/>
      <c r="R51" s="61"/>
      <c r="S51" s="61"/>
      <c r="T51" s="61"/>
      <c r="U51" s="61"/>
      <c r="V51" s="61"/>
      <c r="W51" s="61"/>
      <c r="X51" s="72"/>
      <c r="Y51" s="72"/>
    </row>
    <row r="52" ht="26.25" customHeight="1">
      <c r="A52" s="62" t="s">
        <v>94</v>
      </c>
      <c r="B52" s="62" t="s">
        <v>124</v>
      </c>
      <c r="C52" s="71" t="s">
        <v>106</v>
      </c>
      <c r="D52" s="71" t="s">
        <v>106</v>
      </c>
      <c r="E52" s="65"/>
      <c r="F52" s="71" t="s">
        <v>106</v>
      </c>
      <c r="G52" s="71" t="s">
        <v>106</v>
      </c>
      <c r="H52" s="65"/>
      <c r="I52" s="79" t="s">
        <v>102</v>
      </c>
      <c r="J52" s="71" t="s">
        <v>106</v>
      </c>
      <c r="K52" s="65"/>
      <c r="L52" s="79" t="s">
        <v>102</v>
      </c>
      <c r="M52" s="79" t="s">
        <v>105</v>
      </c>
      <c r="N52" s="65"/>
      <c r="O52" s="104"/>
      <c r="Q52" s="61"/>
      <c r="R52" s="61"/>
      <c r="S52" s="61"/>
      <c r="T52" s="61"/>
      <c r="U52" s="61"/>
      <c r="V52" s="61"/>
      <c r="W52" s="61"/>
      <c r="X52" s="72"/>
      <c r="Y52" s="72"/>
    </row>
    <row r="53" ht="26.25" customHeight="1">
      <c r="A53" s="62" t="s">
        <v>95</v>
      </c>
      <c r="B53" s="62" t="s">
        <v>125</v>
      </c>
      <c r="C53" s="71" t="s">
        <v>106</v>
      </c>
      <c r="D53" s="65"/>
      <c r="E53" s="79" t="s">
        <v>105</v>
      </c>
      <c r="F53" s="71" t="s">
        <v>106</v>
      </c>
      <c r="G53" s="65"/>
      <c r="H53" s="71" t="s">
        <v>106</v>
      </c>
      <c r="I53" s="79" t="s">
        <v>102</v>
      </c>
      <c r="J53" s="65"/>
      <c r="K53" s="71" t="s">
        <v>106</v>
      </c>
      <c r="L53" s="79" t="s">
        <v>102</v>
      </c>
      <c r="M53" s="65"/>
      <c r="N53" s="71" t="s">
        <v>106</v>
      </c>
      <c r="O53" s="104"/>
      <c r="Q53" s="61"/>
      <c r="R53" s="61"/>
      <c r="S53" s="61"/>
      <c r="T53" s="61"/>
      <c r="U53" s="61"/>
      <c r="V53" s="61"/>
      <c r="W53" s="61"/>
      <c r="X53" s="72"/>
      <c r="Y53" s="72"/>
    </row>
    <row r="54" ht="26.25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ht="26.25" customHeight="1">
      <c r="A55" s="54" t="s">
        <v>126</v>
      </c>
      <c r="B55" s="3"/>
      <c r="C55" s="56" t="s">
        <v>61</v>
      </c>
      <c r="D55" s="56" t="s">
        <v>64</v>
      </c>
      <c r="E55" s="56" t="s">
        <v>65</v>
      </c>
      <c r="F55" s="89" t="s">
        <v>61</v>
      </c>
      <c r="G55" s="89" t="s">
        <v>64</v>
      </c>
      <c r="H55" s="89" t="s">
        <v>65</v>
      </c>
      <c r="I55" s="56" t="s">
        <v>61</v>
      </c>
      <c r="J55" s="56" t="s">
        <v>64</v>
      </c>
      <c r="K55" s="56" t="s">
        <v>65</v>
      </c>
      <c r="L55" s="56" t="s">
        <v>61</v>
      </c>
      <c r="M55" s="56" t="s">
        <v>64</v>
      </c>
      <c r="N55" s="56" t="s">
        <v>65</v>
      </c>
      <c r="O55" s="56" t="s">
        <v>61</v>
      </c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ht="26.25" customHeight="1">
      <c r="A56" s="57" t="s">
        <v>82</v>
      </c>
      <c r="B56" s="58" t="s">
        <v>83</v>
      </c>
      <c r="C56" s="59">
        <v>1.0</v>
      </c>
      <c r="D56" s="59">
        <v>3.0</v>
      </c>
      <c r="E56" s="59">
        <v>4.0</v>
      </c>
      <c r="F56" s="59">
        <v>8.0</v>
      </c>
      <c r="G56" s="59">
        <v>10.0</v>
      </c>
      <c r="H56" s="59">
        <v>11.0</v>
      </c>
      <c r="I56" s="59">
        <v>15.0</v>
      </c>
      <c r="J56" s="59">
        <v>17.0</v>
      </c>
      <c r="K56" s="59">
        <v>18.0</v>
      </c>
      <c r="L56" s="60">
        <v>24.0</v>
      </c>
      <c r="M56" s="59">
        <v>25.0</v>
      </c>
      <c r="N56" s="59">
        <v>26.0</v>
      </c>
      <c r="O56" s="59">
        <v>28.0</v>
      </c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ht="26.25" customHeight="1">
      <c r="A57" s="62" t="s">
        <v>84</v>
      </c>
      <c r="B57" s="62" t="s">
        <v>123</v>
      </c>
      <c r="C57" s="71" t="s">
        <v>106</v>
      </c>
      <c r="D57" s="59" t="s">
        <v>106</v>
      </c>
      <c r="E57" s="86"/>
      <c r="F57" s="71" t="s">
        <v>106</v>
      </c>
      <c r="G57" s="71" t="s">
        <v>106</v>
      </c>
      <c r="H57" s="105" t="s">
        <v>127</v>
      </c>
      <c r="I57" s="71" t="s">
        <v>106</v>
      </c>
      <c r="J57" s="97"/>
      <c r="K57" s="65"/>
      <c r="L57" s="97"/>
      <c r="M57" s="67"/>
      <c r="N57" s="65"/>
      <c r="O57" s="97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ht="26.25" customHeight="1">
      <c r="A58" s="62" t="s">
        <v>88</v>
      </c>
      <c r="B58" s="62" t="s">
        <v>124</v>
      </c>
      <c r="C58" s="65"/>
      <c r="D58" s="59" t="s">
        <v>106</v>
      </c>
      <c r="E58" s="79" t="s">
        <v>102</v>
      </c>
      <c r="F58" s="65"/>
      <c r="G58" s="71" t="s">
        <v>106</v>
      </c>
      <c r="H58" s="68"/>
      <c r="I58" s="65"/>
      <c r="J58" s="97"/>
      <c r="K58" s="97"/>
      <c r="L58" s="65"/>
      <c r="M58" s="97"/>
      <c r="N58" s="97"/>
      <c r="O58" s="97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ht="26.25" customHeight="1">
      <c r="A59" s="62" t="s">
        <v>90</v>
      </c>
      <c r="B59" s="62" t="s">
        <v>125</v>
      </c>
      <c r="C59" s="71" t="s">
        <v>106</v>
      </c>
      <c r="D59" s="59" t="s">
        <v>106</v>
      </c>
      <c r="E59" s="65"/>
      <c r="F59" s="71" t="s">
        <v>106</v>
      </c>
      <c r="G59" s="71" t="s">
        <v>106</v>
      </c>
      <c r="H59" s="68"/>
      <c r="I59" s="59" t="s">
        <v>106</v>
      </c>
      <c r="J59" s="67"/>
      <c r="K59" s="65"/>
      <c r="L59" s="67"/>
      <c r="M59" s="67"/>
      <c r="N59" s="65"/>
      <c r="O59" s="97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ht="26.25" customHeight="1">
      <c r="A60" s="62" t="s">
        <v>92</v>
      </c>
      <c r="B60" s="62" t="s">
        <v>124</v>
      </c>
      <c r="C60" s="106"/>
      <c r="D60" s="65"/>
      <c r="E60" s="67"/>
      <c r="F60" s="107"/>
      <c r="G60" s="65"/>
      <c r="H60" s="68"/>
      <c r="I60" s="67"/>
      <c r="J60" s="65"/>
      <c r="K60" s="67"/>
      <c r="L60" s="107"/>
      <c r="M60" s="65"/>
      <c r="N60" s="67"/>
      <c r="O60" s="67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ht="26.25" customHeight="1">
      <c r="A61" s="62" t="s">
        <v>94</v>
      </c>
      <c r="B61" s="62" t="s">
        <v>124</v>
      </c>
      <c r="C61" s="60"/>
      <c r="D61" s="60"/>
      <c r="E61" s="65"/>
      <c r="F61" s="60"/>
      <c r="G61" s="60"/>
      <c r="H61" s="68"/>
      <c r="I61" s="60"/>
      <c r="J61" s="60"/>
      <c r="K61" s="65"/>
      <c r="L61" s="60"/>
      <c r="M61" s="60"/>
      <c r="N61" s="65"/>
      <c r="O61" s="60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ht="26.25" customHeight="1">
      <c r="A62" s="62" t="s">
        <v>95</v>
      </c>
      <c r="B62" s="62" t="s">
        <v>125</v>
      </c>
      <c r="C62" s="60"/>
      <c r="D62" s="60"/>
      <c r="E62" s="65"/>
      <c r="F62" s="60"/>
      <c r="G62" s="60"/>
      <c r="H62" s="11"/>
      <c r="I62" s="60"/>
      <c r="J62" s="60"/>
      <c r="K62" s="65"/>
      <c r="L62" s="60"/>
      <c r="M62" s="60"/>
      <c r="N62" s="65"/>
      <c r="O62" s="60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ht="26.25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ht="26.25" customHeight="1">
      <c r="A64" s="54" t="s">
        <v>128</v>
      </c>
      <c r="B64" s="3"/>
      <c r="C64" s="56" t="s">
        <v>61</v>
      </c>
      <c r="D64" s="56" t="s">
        <v>64</v>
      </c>
      <c r="E64" s="56" t="s">
        <v>65</v>
      </c>
      <c r="F64" s="89" t="s">
        <v>61</v>
      </c>
      <c r="G64" s="89" t="s">
        <v>64</v>
      </c>
      <c r="H64" s="89" t="s">
        <v>65</v>
      </c>
      <c r="I64" s="56" t="s">
        <v>61</v>
      </c>
      <c r="J64" s="56" t="s">
        <v>64</v>
      </c>
      <c r="K64" s="56" t="s">
        <v>65</v>
      </c>
      <c r="L64" s="56" t="s">
        <v>61</v>
      </c>
      <c r="M64" s="56" t="s">
        <v>64</v>
      </c>
      <c r="N64" s="56" t="s">
        <v>65</v>
      </c>
      <c r="O64" s="56" t="s">
        <v>61</v>
      </c>
      <c r="P64" s="56" t="s">
        <v>64</v>
      </c>
      <c r="Q64" s="61"/>
      <c r="R64" s="61"/>
      <c r="S64" s="61"/>
      <c r="T64" s="61"/>
      <c r="U64" s="61"/>
      <c r="V64" s="61"/>
      <c r="W64" s="61"/>
      <c r="X64" s="61"/>
      <c r="Y64" s="72"/>
      <c r="Z64" s="72"/>
    </row>
    <row r="65" ht="26.25" customHeight="1">
      <c r="A65" s="57" t="s">
        <v>82</v>
      </c>
      <c r="B65" s="58" t="s">
        <v>83</v>
      </c>
      <c r="C65" s="60">
        <v>1.0</v>
      </c>
      <c r="D65" s="60">
        <v>3.0</v>
      </c>
      <c r="E65" s="60">
        <v>4.0</v>
      </c>
      <c r="F65" s="60">
        <v>8.0</v>
      </c>
      <c r="G65" s="60">
        <v>10.0</v>
      </c>
      <c r="H65" s="60">
        <v>11.0</v>
      </c>
      <c r="I65" s="60">
        <v>15.0</v>
      </c>
      <c r="J65" s="60">
        <v>17.0</v>
      </c>
      <c r="K65" s="60">
        <v>18.0</v>
      </c>
      <c r="L65" s="60">
        <v>22.0</v>
      </c>
      <c r="M65" s="60">
        <v>24.0</v>
      </c>
      <c r="N65" s="60">
        <v>25.0</v>
      </c>
      <c r="O65" s="60">
        <v>29.0</v>
      </c>
      <c r="P65" s="62">
        <v>31.0</v>
      </c>
      <c r="Q65" s="61"/>
      <c r="R65" s="61"/>
      <c r="S65" s="61"/>
      <c r="T65" s="61"/>
      <c r="U65" s="61"/>
      <c r="V65" s="61"/>
      <c r="W65" s="61"/>
      <c r="X65" s="61"/>
      <c r="Y65" s="72"/>
      <c r="Z65" s="72"/>
    </row>
    <row r="66" ht="26.25" customHeight="1">
      <c r="A66" s="62" t="s">
        <v>84</v>
      </c>
      <c r="B66" s="62" t="s">
        <v>123</v>
      </c>
      <c r="C66" s="97">
        <v>45597.0</v>
      </c>
      <c r="D66" s="65"/>
      <c r="E66" s="97"/>
      <c r="F66" s="97"/>
      <c r="G66" s="65"/>
      <c r="H66" s="108" t="s">
        <v>75</v>
      </c>
      <c r="I66" s="97">
        <v>45597.0</v>
      </c>
      <c r="J66" s="109"/>
      <c r="K66" s="97">
        <v>45597.0</v>
      </c>
      <c r="L66" s="97">
        <v>45597.0</v>
      </c>
      <c r="M66" s="109"/>
      <c r="N66" s="110"/>
      <c r="O66" s="97">
        <v>45597.0</v>
      </c>
      <c r="P66" s="109"/>
      <c r="Q66" s="61"/>
      <c r="R66" s="61"/>
      <c r="S66" s="61"/>
      <c r="T66" s="61"/>
      <c r="U66" s="61"/>
      <c r="V66" s="61"/>
      <c r="W66" s="61"/>
      <c r="X66" s="61"/>
      <c r="Y66" s="72"/>
      <c r="Z66" s="72"/>
    </row>
    <row r="67" ht="26.25" customHeight="1">
      <c r="A67" s="62" t="s">
        <v>88</v>
      </c>
      <c r="B67" s="62" t="s">
        <v>124</v>
      </c>
      <c r="C67" s="65"/>
      <c r="D67" s="64" t="s">
        <v>86</v>
      </c>
      <c r="E67" s="64" t="s">
        <v>86</v>
      </c>
      <c r="F67" s="65"/>
      <c r="G67" s="64" t="s">
        <v>86</v>
      </c>
      <c r="H67" s="68"/>
      <c r="I67" s="109"/>
      <c r="J67" s="64" t="s">
        <v>86</v>
      </c>
      <c r="K67" s="110"/>
      <c r="L67" s="109"/>
      <c r="M67" s="110"/>
      <c r="N67" s="110"/>
      <c r="O67" s="109"/>
      <c r="P67" s="110"/>
      <c r="Q67" s="61"/>
      <c r="R67" s="61"/>
      <c r="S67" s="61"/>
      <c r="T67" s="61"/>
      <c r="U67" s="61"/>
      <c r="V67" s="61"/>
      <c r="W67" s="61"/>
      <c r="X67" s="61"/>
      <c r="Y67" s="72"/>
      <c r="Z67" s="72"/>
    </row>
    <row r="68" ht="26.25" customHeight="1">
      <c r="A68" s="62" t="s">
        <v>90</v>
      </c>
      <c r="B68" s="62" t="s">
        <v>129</v>
      </c>
      <c r="C68" s="64" t="s">
        <v>86</v>
      </c>
      <c r="D68" s="64" t="s">
        <v>86</v>
      </c>
      <c r="E68" s="65"/>
      <c r="F68" s="64" t="s">
        <v>86</v>
      </c>
      <c r="G68" s="64" t="s">
        <v>86</v>
      </c>
      <c r="H68" s="68"/>
      <c r="I68" s="110"/>
      <c r="J68" s="110"/>
      <c r="K68" s="109"/>
      <c r="L68" s="110"/>
      <c r="M68" s="110"/>
      <c r="N68" s="109"/>
      <c r="O68" s="110"/>
      <c r="P68" s="110"/>
      <c r="Q68" s="61"/>
      <c r="R68" s="61"/>
      <c r="S68" s="61"/>
      <c r="T68" s="61"/>
      <c r="U68" s="61"/>
      <c r="V68" s="61"/>
      <c r="W68" s="61"/>
      <c r="X68" s="61"/>
      <c r="Y68" s="72"/>
      <c r="Z68" s="72"/>
    </row>
    <row r="69" ht="26.25" customHeight="1">
      <c r="A69" s="62" t="s">
        <v>92</v>
      </c>
      <c r="B69" s="62" t="s">
        <v>130</v>
      </c>
      <c r="C69" s="64" t="s">
        <v>86</v>
      </c>
      <c r="D69" s="65"/>
      <c r="E69" s="64" t="s">
        <v>86</v>
      </c>
      <c r="F69" s="64" t="s">
        <v>86</v>
      </c>
      <c r="G69" s="65"/>
      <c r="H69" s="68"/>
      <c r="I69" s="64" t="s">
        <v>86</v>
      </c>
      <c r="J69" s="109"/>
      <c r="K69" s="64" t="s">
        <v>86</v>
      </c>
      <c r="L69" s="70" t="s">
        <v>99</v>
      </c>
      <c r="M69" s="109"/>
      <c r="N69" s="64" t="s">
        <v>86</v>
      </c>
      <c r="O69" s="70" t="s">
        <v>99</v>
      </c>
      <c r="P69" s="109"/>
      <c r="Q69" s="61"/>
      <c r="R69" s="61"/>
      <c r="S69" s="61"/>
      <c r="T69" s="61"/>
      <c r="U69" s="61"/>
      <c r="V69" s="61"/>
      <c r="W69" s="61"/>
      <c r="X69" s="61"/>
      <c r="Y69" s="72"/>
      <c r="Z69" s="72"/>
    </row>
    <row r="70" ht="26.25" customHeight="1">
      <c r="A70" s="62" t="s">
        <v>94</v>
      </c>
      <c r="B70" s="62" t="s">
        <v>130</v>
      </c>
      <c r="C70" s="64" t="s">
        <v>86</v>
      </c>
      <c r="D70" s="64" t="s">
        <v>86</v>
      </c>
      <c r="E70" s="65"/>
      <c r="F70" s="64" t="s">
        <v>86</v>
      </c>
      <c r="G70" s="64" t="s">
        <v>86</v>
      </c>
      <c r="H70" s="68"/>
      <c r="I70" s="70" t="s">
        <v>99</v>
      </c>
      <c r="J70" s="70" t="s">
        <v>99</v>
      </c>
      <c r="K70" s="109"/>
      <c r="L70" s="64" t="s">
        <v>86</v>
      </c>
      <c r="M70" s="70" t="s">
        <v>99</v>
      </c>
      <c r="N70" s="109"/>
      <c r="O70" s="64" t="s">
        <v>86</v>
      </c>
      <c r="P70" s="64" t="s">
        <v>86</v>
      </c>
      <c r="Q70" s="61"/>
      <c r="R70" s="61"/>
      <c r="S70" s="61"/>
      <c r="T70" s="61"/>
      <c r="U70" s="61"/>
      <c r="V70" s="61"/>
      <c r="W70" s="61"/>
      <c r="X70" s="61"/>
      <c r="Y70" s="72"/>
      <c r="Z70" s="72"/>
    </row>
    <row r="71" ht="26.25" customHeight="1">
      <c r="A71" s="62" t="s">
        <v>95</v>
      </c>
      <c r="B71" s="62" t="s">
        <v>131</v>
      </c>
      <c r="C71" s="70" t="s">
        <v>99</v>
      </c>
      <c r="D71" s="64" t="s">
        <v>86</v>
      </c>
      <c r="E71" s="65"/>
      <c r="F71" s="64" t="s">
        <v>86</v>
      </c>
      <c r="G71" s="64" t="s">
        <v>86</v>
      </c>
      <c r="H71" s="11"/>
      <c r="I71" s="70" t="s">
        <v>99</v>
      </c>
      <c r="J71" s="70" t="s">
        <v>99</v>
      </c>
      <c r="K71" s="109"/>
      <c r="L71" s="64" t="s">
        <v>86</v>
      </c>
      <c r="M71" s="64" t="s">
        <v>86</v>
      </c>
      <c r="N71" s="109"/>
      <c r="O71" s="64" t="s">
        <v>86</v>
      </c>
      <c r="P71" s="64" t="s">
        <v>86</v>
      </c>
      <c r="Q71" s="61"/>
      <c r="R71" s="61"/>
      <c r="S71" s="61"/>
      <c r="T71" s="61"/>
      <c r="U71" s="61"/>
      <c r="V71" s="61"/>
      <c r="W71" s="61"/>
      <c r="X71" s="61"/>
      <c r="Y71" s="72"/>
      <c r="Z71" s="72"/>
    </row>
    <row r="72" ht="26.2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ht="26.25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ht="26.25" customHeight="1">
      <c r="A74" s="54" t="s">
        <v>132</v>
      </c>
      <c r="B74" s="3"/>
      <c r="C74" s="56" t="s">
        <v>65</v>
      </c>
      <c r="D74" s="89" t="s">
        <v>61</v>
      </c>
      <c r="E74" s="89" t="s">
        <v>64</v>
      </c>
      <c r="F74" s="89" t="s">
        <v>65</v>
      </c>
      <c r="G74" s="56" t="s">
        <v>61</v>
      </c>
      <c r="H74" s="56" t="s">
        <v>64</v>
      </c>
      <c r="I74" s="56" t="s">
        <v>65</v>
      </c>
      <c r="J74" s="56" t="s">
        <v>61</v>
      </c>
      <c r="K74" s="56" t="s">
        <v>64</v>
      </c>
      <c r="L74" s="56" t="s">
        <v>65</v>
      </c>
      <c r="M74" s="56" t="s">
        <v>61</v>
      </c>
      <c r="N74" s="56" t="s">
        <v>64</v>
      </c>
      <c r="O74" s="56" t="s">
        <v>65</v>
      </c>
      <c r="P74" s="61"/>
      <c r="Q74" s="61"/>
      <c r="R74" s="61"/>
      <c r="S74" s="61"/>
      <c r="T74" s="61"/>
      <c r="U74" s="61"/>
      <c r="V74" s="61"/>
      <c r="W74" s="61"/>
      <c r="X74" s="61"/>
      <c r="Y74" s="61"/>
    </row>
    <row r="75" ht="26.25" customHeight="1">
      <c r="A75" s="57" t="s">
        <v>82</v>
      </c>
      <c r="B75" s="58" t="s">
        <v>83</v>
      </c>
      <c r="C75" s="62">
        <v>1.0</v>
      </c>
      <c r="D75" s="62">
        <v>5.0</v>
      </c>
      <c r="E75" s="62">
        <v>7.0</v>
      </c>
      <c r="F75" s="62">
        <v>8.0</v>
      </c>
      <c r="G75" s="62">
        <v>12.0</v>
      </c>
      <c r="H75" s="62">
        <v>14.0</v>
      </c>
      <c r="I75" s="62">
        <v>15.0</v>
      </c>
      <c r="J75" s="62">
        <v>19.0</v>
      </c>
      <c r="K75" s="62">
        <v>21.0</v>
      </c>
      <c r="L75" s="62">
        <v>22.0</v>
      </c>
      <c r="M75" s="62">
        <v>26.0</v>
      </c>
      <c r="N75" s="62">
        <v>28.0</v>
      </c>
      <c r="O75" s="62">
        <v>29.0</v>
      </c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ht="26.25" customHeight="1">
      <c r="A76" s="62" t="s">
        <v>84</v>
      </c>
      <c r="B76" s="62" t="s">
        <v>123</v>
      </c>
      <c r="C76" s="64" t="s">
        <v>86</v>
      </c>
      <c r="D76" s="70" t="s">
        <v>133</v>
      </c>
      <c r="E76" s="65"/>
      <c r="F76" s="64" t="s">
        <v>86</v>
      </c>
      <c r="G76" s="64" t="s">
        <v>86</v>
      </c>
      <c r="H76" s="109"/>
      <c r="I76" s="111" t="s">
        <v>134</v>
      </c>
      <c r="J76" s="110"/>
      <c r="K76" s="109"/>
      <c r="L76" s="112" t="s">
        <v>135</v>
      </c>
      <c r="M76" s="110"/>
      <c r="N76" s="109"/>
      <c r="O76" s="110"/>
      <c r="P76" s="61"/>
      <c r="Q76" s="61"/>
      <c r="R76" s="61"/>
      <c r="S76" s="61"/>
      <c r="T76" s="61"/>
      <c r="U76" s="61"/>
      <c r="V76" s="61"/>
      <c r="W76" s="61"/>
      <c r="X76" s="61"/>
      <c r="Y76" s="61"/>
    </row>
    <row r="77" ht="26.25" customHeight="1">
      <c r="A77" s="62" t="s">
        <v>88</v>
      </c>
      <c r="B77" s="62" t="s">
        <v>124</v>
      </c>
      <c r="C77" s="64" t="s">
        <v>86</v>
      </c>
      <c r="D77" s="65"/>
      <c r="E77" s="113" t="s">
        <v>136</v>
      </c>
      <c r="F77" s="113" t="s">
        <v>136</v>
      </c>
      <c r="G77" s="65"/>
      <c r="H77" s="111" t="s">
        <v>134</v>
      </c>
      <c r="I77" s="111" t="s">
        <v>134</v>
      </c>
      <c r="J77" s="109"/>
      <c r="K77" s="114"/>
      <c r="L77" s="112" t="s">
        <v>135</v>
      </c>
      <c r="M77" s="109"/>
      <c r="N77" s="114"/>
      <c r="O77" s="115"/>
      <c r="P77" s="61"/>
      <c r="Q77" s="61"/>
      <c r="R77" s="61"/>
      <c r="S77" s="61"/>
      <c r="T77" s="61"/>
      <c r="U77" s="61"/>
      <c r="V77" s="61"/>
      <c r="W77" s="61"/>
      <c r="X77" s="61"/>
      <c r="Y77" s="61"/>
    </row>
    <row r="78" ht="26.25" customHeight="1">
      <c r="A78" s="62" t="s">
        <v>90</v>
      </c>
      <c r="B78" s="62" t="s">
        <v>129</v>
      </c>
      <c r="C78" s="65"/>
      <c r="D78" s="70" t="s">
        <v>133</v>
      </c>
      <c r="E78" s="113" t="s">
        <v>136</v>
      </c>
      <c r="F78" s="65"/>
      <c r="G78" s="111" t="s">
        <v>134</v>
      </c>
      <c r="H78" s="111" t="s">
        <v>134</v>
      </c>
      <c r="I78" s="109"/>
      <c r="J78" s="114"/>
      <c r="K78" s="112" t="s">
        <v>135</v>
      </c>
      <c r="L78" s="109"/>
      <c r="M78" s="114"/>
      <c r="N78" s="116"/>
      <c r="O78" s="109"/>
      <c r="P78" s="61"/>
      <c r="Q78" s="61"/>
      <c r="R78" s="61"/>
      <c r="S78" s="61"/>
      <c r="T78" s="61"/>
      <c r="U78" s="61"/>
      <c r="V78" s="61"/>
      <c r="W78" s="61"/>
      <c r="X78" s="61"/>
      <c r="Y78" s="61"/>
    </row>
    <row r="79" ht="26.25" customHeight="1">
      <c r="A79" s="62" t="s">
        <v>92</v>
      </c>
      <c r="B79" s="62" t="s">
        <v>130</v>
      </c>
      <c r="C79" s="70" t="s">
        <v>99</v>
      </c>
      <c r="D79" s="70" t="s">
        <v>133</v>
      </c>
      <c r="E79" s="65"/>
      <c r="F79" s="113" t="s">
        <v>136</v>
      </c>
      <c r="G79" s="111" t="s">
        <v>134</v>
      </c>
      <c r="H79" s="109"/>
      <c r="I79" s="111" t="s">
        <v>134</v>
      </c>
      <c r="J79" s="112" t="s">
        <v>135</v>
      </c>
      <c r="K79" s="109"/>
      <c r="L79" s="110"/>
      <c r="M79" s="117"/>
      <c r="N79" s="109"/>
      <c r="O79" s="110"/>
      <c r="P79" s="61"/>
      <c r="Q79" s="61"/>
      <c r="R79" s="61"/>
      <c r="S79" s="61"/>
      <c r="T79" s="61"/>
      <c r="U79" s="61"/>
      <c r="V79" s="61"/>
      <c r="W79" s="61"/>
      <c r="X79" s="61"/>
      <c r="Y79" s="61"/>
    </row>
    <row r="80" ht="26.25" customHeight="1">
      <c r="A80" s="62" t="s">
        <v>94</v>
      </c>
      <c r="B80" s="62" t="s">
        <v>130</v>
      </c>
      <c r="C80" s="65"/>
      <c r="D80" s="70" t="s">
        <v>133</v>
      </c>
      <c r="E80" s="113" t="s">
        <v>136</v>
      </c>
      <c r="F80" s="65"/>
      <c r="G80" s="111" t="s">
        <v>134</v>
      </c>
      <c r="H80" s="111" t="s">
        <v>134</v>
      </c>
      <c r="I80" s="109"/>
      <c r="J80" s="112" t="s">
        <v>135</v>
      </c>
      <c r="K80" s="117"/>
      <c r="L80" s="109"/>
      <c r="M80" s="110"/>
      <c r="N80" s="117"/>
      <c r="O80" s="109"/>
      <c r="P80" s="61"/>
      <c r="Q80" s="61"/>
      <c r="R80" s="61"/>
      <c r="S80" s="61"/>
      <c r="T80" s="61"/>
      <c r="U80" s="61"/>
      <c r="V80" s="61"/>
      <c r="W80" s="61"/>
      <c r="X80" s="61"/>
      <c r="Y80" s="61"/>
    </row>
    <row r="81" ht="26.25" customHeight="1">
      <c r="A81" s="62" t="s">
        <v>95</v>
      </c>
      <c r="B81" s="62" t="s">
        <v>131</v>
      </c>
      <c r="C81" s="65"/>
      <c r="D81" s="70" t="s">
        <v>133</v>
      </c>
      <c r="E81" s="113" t="s">
        <v>136</v>
      </c>
      <c r="F81" s="65"/>
      <c r="G81" s="111" t="s">
        <v>134</v>
      </c>
      <c r="H81" s="111" t="s">
        <v>134</v>
      </c>
      <c r="I81" s="109"/>
      <c r="J81" s="117"/>
      <c r="K81" s="112" t="s">
        <v>135</v>
      </c>
      <c r="L81" s="109"/>
      <c r="M81" s="117"/>
      <c r="N81" s="117"/>
      <c r="O81" s="109"/>
      <c r="P81" s="61"/>
      <c r="Q81" s="61"/>
      <c r="R81" s="61"/>
      <c r="S81" s="61"/>
      <c r="T81" s="61"/>
      <c r="U81" s="61"/>
      <c r="V81" s="61"/>
      <c r="W81" s="61"/>
      <c r="X81" s="61"/>
      <c r="Y81" s="61"/>
    </row>
    <row r="82" ht="26.25" customHeight="1">
      <c r="A82" s="61"/>
      <c r="B82" s="61"/>
      <c r="C82" s="61"/>
      <c r="D82" s="61"/>
      <c r="E82" s="61"/>
      <c r="F82" s="61"/>
      <c r="G82" s="118" t="s">
        <v>137</v>
      </c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ht="26.25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  <row r="1001">
      <c r="A1001" s="61"/>
      <c r="B1001" s="61"/>
      <c r="C1001" s="61"/>
      <c r="D1001" s="61"/>
      <c r="E1001" s="61"/>
      <c r="F1001" s="61"/>
      <c r="G1001" s="6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</row>
  </sheetData>
  <mergeCells count="16">
    <mergeCell ref="A1:B1"/>
    <mergeCell ref="F3:F8"/>
    <mergeCell ref="A10:B10"/>
    <mergeCell ref="C12:D17"/>
    <mergeCell ref="A19:B19"/>
    <mergeCell ref="A28:B28"/>
    <mergeCell ref="H39:H44"/>
    <mergeCell ref="H66:H71"/>
    <mergeCell ref="G82:J82"/>
    <mergeCell ref="A37:B37"/>
    <mergeCell ref="A46:B46"/>
    <mergeCell ref="P48:P53"/>
    <mergeCell ref="A55:B55"/>
    <mergeCell ref="H57:H62"/>
    <mergeCell ref="A64:B64"/>
    <mergeCell ref="A74:B7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2015-05-27T15:30:34Z</dcterms:created>
  <dc:creator>Preceptoria</dc:creator>
</cp:coreProperties>
</file>